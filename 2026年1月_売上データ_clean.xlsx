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分析サマリー" sheetId="1" state="visible" r:id="rId3"/>
    <sheet name="1月売上" sheetId="2" state="visible" r:id="rId4"/>
    <sheet name="商品マスタ" sheetId="3" state="visible" r:id="rId5"/>
    <sheet name="メモ" sheetId="4" state="visible" r:id="rId6"/>
    <sheet name="店舗別" sheetId="5" state="visible" r:id="rId7"/>
    <sheet name="チャネル別" sheetId="6" state="visible" r:id="rId8"/>
    <sheet name="カテゴリ別" sheetId="7" state="visible" r:id="rId9"/>
    <sheet name="顧客区分別" sheetId="8" state="visible" r:id="rId10"/>
    <sheet name="日次推移" sheetId="9" state="visible" r:id="rId11"/>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<sst xmlns="http://schemas.openxmlformats.org/spreadsheetml/2006/main" count="2518" uniqueCount="567">
  <si>
    <r>
      <rPr>
        <b val="true"/>
        <sz val="14"/>
        <rFont val="Arial"/>
        <family val="0"/>
        <charset val="1"/>
      </rPr>
      <t xml:space="preserve">2026</t>
    </r>
    <r>
      <rPr>
        <b val="true"/>
        <sz val="14"/>
        <rFont val="WenQuanYi Zen Hei"/>
        <family val="2"/>
      </rPr>
      <t xml:space="preserve">年</t>
    </r>
    <r>
      <rPr>
        <b val="true"/>
        <sz val="14"/>
        <rFont val="Arial"/>
        <family val="0"/>
        <charset val="1"/>
      </rPr>
      <t xml:space="preserve">1</t>
    </r>
    <r>
      <rPr>
        <b val="true"/>
        <sz val="14"/>
        <rFont val="WenQuanYi Zen Hei"/>
        <family val="2"/>
      </rPr>
      <t xml:space="preserve">月 売上分析サマリー</t>
    </r>
  </si>
  <si>
    <t xml:space="preserve">※ 集計は「有効フラグ」が「有効」の行のみを対象としています（キャンセル・返品は除外）</t>
  </si>
  <si>
    <r>
      <rPr>
        <b val="true"/>
        <sz val="12"/>
        <rFont val="Arial"/>
        <family val="0"/>
        <charset val="1"/>
      </rPr>
      <t xml:space="preserve">1. </t>
    </r>
    <r>
      <rPr>
        <b val="true"/>
        <sz val="12"/>
        <rFont val="WenQuanYi Zen Hei"/>
        <family val="2"/>
      </rPr>
      <t xml:space="preserve">売上目標達成率</t>
    </r>
  </si>
  <si>
    <t xml:space="preserve">月間売上目標（円）</t>
  </si>
  <si>
    <t xml:space="preserve">出典：メモシート「・目標：1月売上 3,000,000円（全店合計・税抜）」</t>
  </si>
  <si>
    <t xml:space="preserve">実績売上高（円・有効のみ）</t>
  </si>
  <si>
    <t xml:space="preserve">達成率</t>
  </si>
  <si>
    <t xml:space="preserve">実績粗利（円・有効のみ）</t>
  </si>
  <si>
    <r>
      <rPr>
        <b val="true"/>
        <sz val="12"/>
        <rFont val="Arial"/>
        <family val="0"/>
        <charset val="1"/>
      </rPr>
      <t xml:space="preserve">2. </t>
    </r>
    <r>
      <rPr>
        <b val="true"/>
        <sz val="12"/>
        <rFont val="WenQuanYi Zen Hei"/>
        <family val="2"/>
      </rPr>
      <t xml:space="preserve">新春ギフトフェア効果検証（期間内 </t>
    </r>
    <r>
      <rPr>
        <b val="true"/>
        <sz val="12"/>
        <rFont val="Arial"/>
        <family val="0"/>
        <charset val="1"/>
      </rPr>
      <t xml:space="preserve">vs </t>
    </r>
    <r>
      <rPr>
        <b val="true"/>
        <sz val="12"/>
        <rFont val="WenQuanYi Zen Hei"/>
        <family val="2"/>
      </rPr>
      <t xml:space="preserve">期間外 日次平均売上）</t>
    </r>
  </si>
  <si>
    <t xml:space="preserve">出典：メモシート「・1/13-1/19は「新春ギフトフェア」実施（ギフトカテゴリ中心に販促）」</t>
  </si>
  <si>
    <t xml:space="preserve">フェア開始日</t>
  </si>
  <si>
    <t xml:space="preserve">フェア終了日</t>
  </si>
  <si>
    <t xml:space="preserve">期間内日数</t>
  </si>
  <si>
    <t xml:space="preserve">期間外日数（1月全体31日）</t>
  </si>
  <si>
    <t xml:space="preserve">期間内</t>
  </si>
  <si>
    <t xml:space="preserve">期間外</t>
  </si>
  <si>
    <t xml:space="preserve">差分（期間内-期間外）</t>
  </si>
  <si>
    <t xml:space="preserve">増減率</t>
  </si>
  <si>
    <t xml:space="preserve">全体 売上合計（円）</t>
  </si>
  <si>
    <t xml:space="preserve">全体 日次平均売上（円）</t>
  </si>
  <si>
    <t xml:space="preserve">ギフトカテゴリ 売上合計（円）</t>
  </si>
  <si>
    <t xml:space="preserve">ギフト 日次平均売上（円）</t>
  </si>
  <si>
    <t xml:space="preserve">コメント</t>
  </si>
  <si>
    <r>
      <rPr>
        <sz val="11"/>
        <rFont val="Arial"/>
        <family val="0"/>
        <charset val="1"/>
      </rPr>
      <t xml:space="preserve">1</t>
    </r>
    <r>
      <rPr>
        <sz val="11"/>
        <rFont val="WenQuanYi Zen Hei"/>
        <family val="2"/>
      </rPr>
      <t xml:space="preserve">月の実績売上高は目標</t>
    </r>
    <r>
      <rPr>
        <sz val="11"/>
        <rFont val="Arial"/>
        <family val="0"/>
        <charset val="1"/>
      </rPr>
      <t xml:space="preserve">3,000,000</t>
    </r>
    <r>
      <rPr>
        <sz val="11"/>
        <rFont val="WenQuanYi Zen Hei"/>
        <family val="2"/>
      </rPr>
      <t xml:space="preserve">円に対し達成率 約</t>
    </r>
    <r>
      <rPr>
        <sz val="11"/>
        <rFont val="Arial"/>
        <family val="0"/>
        <charset val="1"/>
      </rPr>
      <t xml:space="preserve">70.6%</t>
    </r>
    <r>
      <rPr>
        <sz val="11"/>
        <rFont val="WenQuanYi Zen Hei"/>
        <family val="2"/>
      </rPr>
      <t xml:space="preserve">（実績約</t>
    </r>
    <r>
      <rPr>
        <sz val="11"/>
        <rFont val="Arial"/>
        <family val="0"/>
        <charset val="1"/>
      </rPr>
      <t xml:space="preserve">2,116,962</t>
    </r>
    <r>
      <rPr>
        <sz val="11"/>
        <rFont val="WenQuanYi Zen Hei"/>
        <family val="2"/>
      </rPr>
      <t xml:space="preserve">円）で、目標未達でした。新春ギフトフェア期間（</t>
    </r>
    <r>
      <rPr>
        <sz val="11"/>
        <rFont val="Arial"/>
        <family val="0"/>
        <charset val="1"/>
      </rPr>
      <t xml:space="preserve">1/13-1/19</t>
    </r>
    <r>
      <rPr>
        <sz val="11"/>
        <rFont val="WenQuanYi Zen Hei"/>
        <family val="2"/>
      </rPr>
      <t xml:space="preserve">）の全体日次平均売上は約</t>
    </r>
    <r>
      <rPr>
        <sz val="11"/>
        <rFont val="Arial"/>
        <family val="0"/>
        <charset val="1"/>
      </rPr>
      <t xml:space="preserve">79,389</t>
    </r>
    <r>
      <rPr>
        <sz val="11"/>
        <rFont val="WenQuanYi Zen Hei"/>
        <family val="2"/>
      </rPr>
      <t xml:space="preserve">円で、期間外の約</t>
    </r>
    <r>
      <rPr>
        <sz val="11"/>
        <rFont val="Arial"/>
        <family val="0"/>
        <charset val="1"/>
      </rPr>
      <t xml:space="preserve">65,052</t>
    </r>
    <r>
      <rPr>
        <sz val="11"/>
        <rFont val="WenQuanYi Zen Hei"/>
        <family val="2"/>
      </rPr>
      <t xml:space="preserve">円と比べて</t>
    </r>
    <r>
      <rPr>
        <sz val="11"/>
        <rFont val="Arial"/>
        <family val="0"/>
        <charset val="1"/>
      </rPr>
      <t xml:space="preserve">+22.0%</t>
    </r>
    <r>
      <rPr>
        <sz val="11"/>
        <rFont val="WenQuanYi Zen Hei"/>
        <family val="2"/>
      </rPr>
      <t xml:space="preserve">増加しており、全社的な売上の押し上げ効果が見られます。一方、フェアが重点訴求していたギフトカテゴリ単体の日次平均売上は期間内が約</t>
    </r>
    <r>
      <rPr>
        <sz val="11"/>
        <rFont val="Arial"/>
        <family val="0"/>
        <charset val="1"/>
      </rPr>
      <t xml:space="preserve">20,697</t>
    </r>
    <r>
      <rPr>
        <sz val="11"/>
        <rFont val="WenQuanYi Zen Hei"/>
        <family val="2"/>
      </rPr>
      <t xml:space="preserve">円、期間外が約</t>
    </r>
    <r>
      <rPr>
        <sz val="11"/>
        <rFont val="Arial"/>
        <family val="0"/>
        <charset val="1"/>
      </rPr>
      <t xml:space="preserve">22,614</t>
    </r>
    <r>
      <rPr>
        <sz val="11"/>
        <rFont val="WenQuanYi Zen Hei"/>
        <family val="2"/>
      </rPr>
      <t xml:space="preserve">円で、</t>
    </r>
    <r>
      <rPr>
        <sz val="11"/>
        <rFont val="Arial"/>
        <family val="0"/>
        <charset val="1"/>
      </rPr>
      <t xml:space="preserve">-8.5%</t>
    </r>
    <r>
      <rPr>
        <sz val="11"/>
        <rFont val="WenQuanYi Zen Hei"/>
        <family val="2"/>
      </rPr>
      <t xml:space="preserve">とむしろ期間外より低い結果でした。フェアは店舗全体の来店・購買を喚起した可能性がある一方、肝心のギフトカテゴリの押し上げには繋がっていない可能性があり、施策の訴求内容や陳列・販促方法の見直しを検討する価値があります（数値は上表のセル参照値であり、実際の再計算値をご確認ください）。</t>
    </r>
  </si>
  <si>
    <t xml:space="preserve">注文ID</t>
  </si>
  <si>
    <t xml:space="preserve">注文日</t>
  </si>
  <si>
    <t xml:space="preserve">店舗</t>
  </si>
  <si>
    <t xml:space="preserve">チャネル</t>
  </si>
  <si>
    <t xml:space="preserve">顧客名</t>
  </si>
  <si>
    <t xml:space="preserve">顧客区分</t>
  </si>
  <si>
    <t xml:space="preserve">カテゴリ</t>
  </si>
  <si>
    <t xml:space="preserve">商品名</t>
  </si>
  <si>
    <t xml:space="preserve">数量</t>
  </si>
  <si>
    <t xml:space="preserve">単価</t>
  </si>
  <si>
    <t xml:space="preserve">割引率</t>
  </si>
  <si>
    <t xml:space="preserve">支払方法</t>
  </si>
  <si>
    <t xml:space="preserve">備考</t>
  </si>
  <si>
    <t xml:space="preserve">有効フラグ</t>
  </si>
  <si>
    <t xml:space="preserve">単価補完</t>
  </si>
  <si>
    <t xml:space="preserve">売上金額</t>
  </si>
  <si>
    <t xml:space="preserve">原価単価</t>
  </si>
  <si>
    <t xml:space="preserve">粗利</t>
  </si>
  <si>
    <t xml:space="preserve">A-20260001</t>
  </si>
  <si>
    <t xml:space="preserve">横浜店</t>
  </si>
  <si>
    <t xml:space="preserve">店頭</t>
  </si>
  <si>
    <t xml:space="preserve">有限会社みどり商会</t>
  </si>
  <si>
    <t xml:space="preserve">法人</t>
  </si>
  <si>
    <t xml:space="preserve">菓子</t>
  </si>
  <si>
    <t xml:space="preserve">コーヒーゼリー 4個</t>
  </si>
  <si>
    <t xml:space="preserve">クレジット</t>
  </si>
  <si>
    <t xml:space="preserve">キャンセル</t>
  </si>
  <si>
    <t xml:space="preserve">無効</t>
  </si>
  <si>
    <t xml:space="preserve">A-20260002</t>
  </si>
  <si>
    <t xml:space="preserve">渋谷店</t>
  </si>
  <si>
    <r>
      <rPr>
        <sz val="11"/>
        <rFont val="Arial"/>
        <family val="0"/>
        <charset val="1"/>
      </rPr>
      <t xml:space="preserve">(</t>
    </r>
    <r>
      <rPr>
        <sz val="11"/>
        <rFont val="WenQuanYi Zen Hei"/>
        <family val="2"/>
      </rPr>
      <t xml:space="preserve">株</t>
    </r>
    <r>
      <rPr>
        <sz val="11"/>
        <rFont val="Arial"/>
        <family val="0"/>
        <charset val="1"/>
      </rPr>
      <t xml:space="preserve">)</t>
    </r>
    <r>
      <rPr>
        <sz val="11"/>
        <rFont val="WenQuanYi Zen Hei"/>
        <family val="2"/>
      </rPr>
      <t xml:space="preserve">サンライズ</t>
    </r>
  </si>
  <si>
    <t xml:space="preserve">焼き菓子アソート</t>
  </si>
  <si>
    <t xml:space="preserve">クレカ</t>
  </si>
  <si>
    <t xml:space="preserve">有効</t>
  </si>
  <si>
    <t xml:space="preserve">A-20260003</t>
  </si>
  <si>
    <t xml:space="preserve">新宿店</t>
  </si>
  <si>
    <t xml:space="preserve">山本 花子</t>
  </si>
  <si>
    <t xml:space="preserve">一般</t>
  </si>
  <si>
    <t xml:space="preserve">器具</t>
  </si>
  <si>
    <t xml:space="preserve">ペーパーフィルター</t>
  </si>
  <si>
    <t xml:space="preserve">電子マネー</t>
  </si>
  <si>
    <t xml:space="preserve">A-20260004</t>
  </si>
  <si>
    <t xml:space="preserve">林 健一</t>
  </si>
  <si>
    <t xml:space="preserve">コーヒー豆</t>
  </si>
  <si>
    <t xml:space="preserve">ブレンド 200g</t>
  </si>
  <si>
    <t xml:space="preserve">A-20260005</t>
  </si>
  <si>
    <t xml:space="preserve">EC</t>
  </si>
  <si>
    <t xml:space="preserve">田中 花子</t>
  </si>
  <si>
    <t xml:space="preserve">A-20260006</t>
  </si>
  <si>
    <t xml:space="preserve">高橋　涼</t>
  </si>
  <si>
    <t xml:space="preserve">ビスコッティ</t>
  </si>
  <si>
    <r>
      <rPr>
        <sz val="11"/>
        <rFont val="Arial"/>
        <family val="0"/>
        <charset val="1"/>
      </rPr>
      <t xml:space="preserve">QR</t>
    </r>
    <r>
      <rPr>
        <sz val="11"/>
        <rFont val="WenQuanYi Zen Hei"/>
        <family val="2"/>
      </rPr>
      <t xml:space="preserve">コード決済</t>
    </r>
  </si>
  <si>
    <t xml:space="preserve">A-20260007</t>
  </si>
  <si>
    <t xml:space="preserve">名古屋店</t>
  </si>
  <si>
    <t xml:space="preserve">加藤　美咲</t>
  </si>
  <si>
    <t xml:space="preserve">会員</t>
  </si>
  <si>
    <t xml:space="preserve">ドリッパー</t>
  </si>
  <si>
    <t xml:space="preserve">現金</t>
  </si>
  <si>
    <t xml:space="preserve">A-20260008</t>
  </si>
  <si>
    <t xml:space="preserve">福岡店</t>
  </si>
  <si>
    <t xml:space="preserve">中村 健一</t>
  </si>
  <si>
    <t xml:space="preserve">サーバー 600ml</t>
  </si>
  <si>
    <t xml:space="preserve">A-20260009</t>
  </si>
  <si>
    <t xml:space="preserve">高橋　彩</t>
  </si>
  <si>
    <t xml:space="preserve">深煎りブレンド 500g</t>
  </si>
  <si>
    <t xml:space="preserve">A-20260010</t>
  </si>
  <si>
    <t xml:space="preserve">斎藤 美咲</t>
  </si>
  <si>
    <t xml:space="preserve">A-20260011</t>
  </si>
  <si>
    <t xml:space="preserve">伊藤 隆</t>
  </si>
  <si>
    <t xml:space="preserve">電動ミル</t>
  </si>
  <si>
    <t xml:space="preserve">A-20260012</t>
  </si>
  <si>
    <t xml:space="preserve">中村隆</t>
  </si>
  <si>
    <t xml:space="preserve">A-20260013</t>
  </si>
  <si>
    <t xml:space="preserve">高橋彩</t>
  </si>
  <si>
    <t xml:space="preserve">A-20260014</t>
  </si>
  <si>
    <t xml:space="preserve">中村 結衣</t>
  </si>
  <si>
    <t xml:space="preserve">A-20260015</t>
  </si>
  <si>
    <t xml:space="preserve">山本 太郎</t>
  </si>
  <si>
    <t xml:space="preserve">A-20260016</t>
  </si>
  <si>
    <t xml:space="preserve">木村 真央</t>
  </si>
  <si>
    <t xml:space="preserve">A-20260017</t>
  </si>
  <si>
    <t xml:space="preserve">木村 大輔</t>
  </si>
  <si>
    <t xml:space="preserve">モカ 200g</t>
  </si>
  <si>
    <t xml:space="preserve">A-20260018</t>
  </si>
  <si>
    <t xml:space="preserve">A-20260019</t>
  </si>
  <si>
    <t xml:space="preserve">山田美咲</t>
  </si>
  <si>
    <t xml:space="preserve">A-20260020</t>
  </si>
  <si>
    <t xml:space="preserve">小林 花子</t>
  </si>
  <si>
    <t xml:space="preserve">A-20260021</t>
  </si>
  <si>
    <t xml:space="preserve">佐々木　健一</t>
  </si>
  <si>
    <t xml:space="preserve">A-20260022</t>
  </si>
  <si>
    <t xml:space="preserve">吉田 翔</t>
  </si>
  <si>
    <t xml:space="preserve">ギフト</t>
  </si>
  <si>
    <t xml:space="preserve">ドリップバッグ12個入</t>
  </si>
  <si>
    <t xml:space="preserve">A-20260023</t>
  </si>
  <si>
    <t xml:space="preserve">林 涼</t>
  </si>
  <si>
    <t xml:space="preserve">ギフトセットA</t>
  </si>
  <si>
    <t xml:space="preserve">A-20260024</t>
  </si>
  <si>
    <t xml:space="preserve">中村美咲</t>
  </si>
  <si>
    <t xml:space="preserve">A-20260025</t>
  </si>
  <si>
    <t xml:space="preserve">鈴木　太郎</t>
  </si>
  <si>
    <r>
      <rPr>
        <sz val="11"/>
        <rFont val="Arial"/>
        <family val="0"/>
        <charset val="1"/>
      </rPr>
      <t xml:space="preserve">QR</t>
    </r>
    <r>
      <rPr>
        <sz val="11"/>
        <rFont val="WenQuanYi Zen Hei"/>
        <family val="2"/>
      </rPr>
      <t xml:space="preserve">決済</t>
    </r>
  </si>
  <si>
    <t xml:space="preserve">A-20260026</t>
  </si>
  <si>
    <t xml:space="preserve">松本 健一</t>
  </si>
  <si>
    <t xml:space="preserve">A-20260027</t>
  </si>
  <si>
    <t xml:space="preserve">山本　涼</t>
  </si>
  <si>
    <t xml:space="preserve">A-20260028</t>
  </si>
  <si>
    <t xml:space="preserve">小林　太郎</t>
  </si>
  <si>
    <t xml:space="preserve">A-20260029</t>
  </si>
  <si>
    <t xml:space="preserve">木村彩</t>
  </si>
  <si>
    <t xml:space="preserve">A-20260030</t>
  </si>
  <si>
    <t xml:space="preserve">高橋健一</t>
  </si>
  <si>
    <t xml:space="preserve">A-20260031</t>
  </si>
  <si>
    <t xml:space="preserve">株式会社ヒカリ物産</t>
  </si>
  <si>
    <t xml:space="preserve">A-20260032</t>
  </si>
  <si>
    <t xml:space="preserve">斎藤　美咲</t>
  </si>
  <si>
    <t xml:space="preserve">A-20260033</t>
  </si>
  <si>
    <t xml:space="preserve">加藤　結衣</t>
  </si>
  <si>
    <t xml:space="preserve">A-20260034</t>
  </si>
  <si>
    <t xml:space="preserve">中村　美咲</t>
  </si>
  <si>
    <t xml:space="preserve">A-20260035</t>
  </si>
  <si>
    <t xml:space="preserve">山本美咲</t>
  </si>
  <si>
    <t xml:space="preserve">A-20260036</t>
  </si>
  <si>
    <t xml:space="preserve">木村 隆</t>
  </si>
  <si>
    <t xml:space="preserve">A-20260037</t>
  </si>
  <si>
    <t xml:space="preserve">佐々木 彩</t>
  </si>
  <si>
    <t xml:space="preserve">A-20260038</t>
  </si>
  <si>
    <t xml:space="preserve">小林　大輔</t>
  </si>
  <si>
    <t xml:space="preserve">A-20260039</t>
  </si>
  <si>
    <t xml:space="preserve">中村花子</t>
  </si>
  <si>
    <t xml:space="preserve">A-20260040</t>
  </si>
  <si>
    <t xml:space="preserve">山本太郎</t>
  </si>
  <si>
    <t xml:space="preserve">A-20260041</t>
  </si>
  <si>
    <t xml:space="preserve">A-20260042</t>
  </si>
  <si>
    <t xml:space="preserve">井上　涼</t>
  </si>
  <si>
    <t xml:space="preserve">補完</t>
  </si>
  <si>
    <t xml:space="preserve">A-20260043</t>
  </si>
  <si>
    <t xml:space="preserve">A-20260044</t>
  </si>
  <si>
    <t xml:space="preserve">鈴木 太郎</t>
  </si>
  <si>
    <t xml:space="preserve">A-20260045</t>
  </si>
  <si>
    <t xml:space="preserve">松本　美咲</t>
  </si>
  <si>
    <t xml:space="preserve">A-20260046</t>
  </si>
  <si>
    <t xml:space="preserve">佐藤翔</t>
  </si>
  <si>
    <t xml:space="preserve">A-20260047</t>
  </si>
  <si>
    <t xml:space="preserve">高橋　結衣</t>
  </si>
  <si>
    <t xml:space="preserve">A-20260048</t>
  </si>
  <si>
    <t xml:space="preserve">佐藤 結衣</t>
  </si>
  <si>
    <t xml:space="preserve">A-20260049</t>
  </si>
  <si>
    <t xml:space="preserve">A-20260050</t>
  </si>
  <si>
    <t xml:space="preserve">林 太郎</t>
  </si>
  <si>
    <t xml:space="preserve">ギフトセットB</t>
  </si>
  <si>
    <t xml:space="preserve">A-20260051</t>
  </si>
  <si>
    <t xml:space="preserve">井上 大輔</t>
  </si>
  <si>
    <t xml:space="preserve">A-20260052</t>
  </si>
  <si>
    <t xml:space="preserve">井上　真央</t>
  </si>
  <si>
    <t xml:space="preserve">季節限定ブレンド 200g</t>
  </si>
  <si>
    <t xml:space="preserve">A-20260053</t>
  </si>
  <si>
    <t xml:space="preserve">A-20260054</t>
  </si>
  <si>
    <t xml:space="preserve">小林 大輔</t>
  </si>
  <si>
    <t xml:space="preserve">返品</t>
  </si>
  <si>
    <t xml:space="preserve">A-20260055</t>
  </si>
  <si>
    <t xml:space="preserve">山本 涼</t>
  </si>
  <si>
    <t xml:space="preserve">A-20260056</t>
  </si>
  <si>
    <t xml:space="preserve">田中 彩</t>
  </si>
  <si>
    <t xml:space="preserve">A-20260057</t>
  </si>
  <si>
    <t xml:space="preserve">A-20260058</t>
  </si>
  <si>
    <t xml:space="preserve">小林　真央</t>
  </si>
  <si>
    <t xml:space="preserve">A-20260059</t>
  </si>
  <si>
    <t xml:space="preserve">木村健一</t>
  </si>
  <si>
    <t xml:space="preserve">A-20260060</t>
  </si>
  <si>
    <t xml:space="preserve">A-20260061</t>
  </si>
  <si>
    <t xml:space="preserve">中村恵</t>
  </si>
  <si>
    <t xml:space="preserve">A-20260062</t>
  </si>
  <si>
    <t xml:space="preserve">鈴木 翔</t>
  </si>
  <si>
    <t xml:space="preserve">要確認</t>
  </si>
  <si>
    <t xml:space="preserve">A-20260063</t>
  </si>
  <si>
    <t xml:space="preserve">A-20260064</t>
  </si>
  <si>
    <t xml:space="preserve">カフェ・ノルド㈱</t>
  </si>
  <si>
    <t xml:space="preserve">A-20260065</t>
  </si>
  <si>
    <t xml:space="preserve">井上真央</t>
  </si>
  <si>
    <t xml:space="preserve">A-20260066</t>
  </si>
  <si>
    <t xml:space="preserve">田中 太郎</t>
  </si>
  <si>
    <t xml:space="preserve">A-20260067</t>
  </si>
  <si>
    <t xml:space="preserve">清水 大輔</t>
  </si>
  <si>
    <t xml:space="preserve">A-20260068</t>
  </si>
  <si>
    <t xml:space="preserve">吉田 恵</t>
  </si>
  <si>
    <t xml:space="preserve">A-20260069</t>
  </si>
  <si>
    <t xml:space="preserve">A-20260070</t>
  </si>
  <si>
    <t xml:space="preserve">山田　美咲</t>
  </si>
  <si>
    <t xml:space="preserve">A-20260071</t>
  </si>
  <si>
    <t xml:space="preserve">田中彩</t>
  </si>
  <si>
    <t xml:space="preserve">A-20260072</t>
  </si>
  <si>
    <t xml:space="preserve">田中涼</t>
  </si>
  <si>
    <t xml:space="preserve">A-20260073</t>
  </si>
  <si>
    <t xml:space="preserve">井上　大輔</t>
  </si>
  <si>
    <t xml:space="preserve">A-20260074</t>
  </si>
  <si>
    <t xml:space="preserve">高橋　恵</t>
  </si>
  <si>
    <t xml:space="preserve">A-20260075</t>
  </si>
  <si>
    <t xml:space="preserve">高橋 健一</t>
  </si>
  <si>
    <t xml:space="preserve">A-20260076</t>
  </si>
  <si>
    <t xml:space="preserve">山田 翔</t>
  </si>
  <si>
    <t xml:space="preserve">A-20260077</t>
  </si>
  <si>
    <t xml:space="preserve">佐々木花子</t>
  </si>
  <si>
    <t xml:space="preserve">A-20260078</t>
  </si>
  <si>
    <t xml:space="preserve">伊藤　彩</t>
  </si>
  <si>
    <t xml:space="preserve">A-20260079</t>
  </si>
  <si>
    <t xml:space="preserve">高橋　真央</t>
  </si>
  <si>
    <t xml:space="preserve">A-20260080</t>
  </si>
  <si>
    <t xml:space="preserve">佐々木真央</t>
  </si>
  <si>
    <t xml:space="preserve">A-20260081</t>
  </si>
  <si>
    <t xml:space="preserve">株式会社アオゾラ</t>
  </si>
  <si>
    <t xml:space="preserve">A-20260082</t>
  </si>
  <si>
    <t xml:space="preserve">山口 美咲</t>
  </si>
  <si>
    <t xml:space="preserve">A-20260083</t>
  </si>
  <si>
    <t xml:space="preserve">林花子</t>
  </si>
  <si>
    <t xml:space="preserve">A-20260084</t>
  </si>
  <si>
    <t xml:space="preserve">山田 隆</t>
  </si>
  <si>
    <t xml:space="preserve">A-20260085</t>
  </si>
  <si>
    <t xml:space="preserve">中村　涼</t>
  </si>
  <si>
    <t xml:space="preserve">A-20260086</t>
  </si>
  <si>
    <t xml:space="preserve">佐藤 翔</t>
  </si>
  <si>
    <t xml:space="preserve">A-20260087</t>
  </si>
  <si>
    <t xml:space="preserve">高橋真央</t>
  </si>
  <si>
    <t xml:space="preserve">A-20260088</t>
  </si>
  <si>
    <t xml:space="preserve">中村翔</t>
  </si>
  <si>
    <t xml:space="preserve">A-20260089</t>
  </si>
  <si>
    <t xml:space="preserve">松本 真央</t>
  </si>
  <si>
    <t xml:space="preserve">A-20260090</t>
  </si>
  <si>
    <t xml:space="preserve">松本彩</t>
  </si>
  <si>
    <t xml:space="preserve">A-20260091</t>
  </si>
  <si>
    <t xml:space="preserve">斎藤 真央</t>
  </si>
  <si>
    <t xml:space="preserve">A-20260092</t>
  </si>
  <si>
    <t xml:space="preserve">佐藤　花子</t>
  </si>
  <si>
    <t xml:space="preserve">A-20260093</t>
  </si>
  <si>
    <t xml:space="preserve">佐々木　太郎</t>
  </si>
  <si>
    <t xml:space="preserve">A-20260094</t>
  </si>
  <si>
    <t xml:space="preserve">A-20260095</t>
  </si>
  <si>
    <t xml:space="preserve">山田健一</t>
  </si>
  <si>
    <t xml:space="preserve">A-20260096</t>
  </si>
  <si>
    <t xml:space="preserve">井上 隆</t>
  </si>
  <si>
    <t xml:space="preserve">A-20260097</t>
  </si>
  <si>
    <t xml:space="preserve">木村　花子</t>
  </si>
  <si>
    <t xml:space="preserve">A-20260098</t>
  </si>
  <si>
    <t xml:space="preserve">山本　恵</t>
  </si>
  <si>
    <t xml:space="preserve">A-20260099</t>
  </si>
  <si>
    <t xml:space="preserve">林太郎</t>
  </si>
  <si>
    <t xml:space="preserve">A-20260100</t>
  </si>
  <si>
    <t xml:space="preserve">中村 花子</t>
  </si>
  <si>
    <t xml:space="preserve">A-20260101</t>
  </si>
  <si>
    <t xml:space="preserve">井上　彩</t>
  </si>
  <si>
    <t xml:space="preserve">A-20260102</t>
  </si>
  <si>
    <t xml:space="preserve">中村健一</t>
  </si>
  <si>
    <t xml:space="preserve">A-20260103</t>
  </si>
  <si>
    <t xml:space="preserve">鈴木大輔</t>
  </si>
  <si>
    <t xml:space="preserve">A-20260104</t>
  </si>
  <si>
    <t xml:space="preserve">田中 恵</t>
  </si>
  <si>
    <t xml:space="preserve">A-20260105</t>
  </si>
  <si>
    <t xml:space="preserve">加藤　彩</t>
  </si>
  <si>
    <t xml:space="preserve">A-20260106</t>
  </si>
  <si>
    <t xml:space="preserve">A-20260107</t>
  </si>
  <si>
    <t xml:space="preserve">吉田大輔</t>
  </si>
  <si>
    <t xml:space="preserve">A-20260108</t>
  </si>
  <si>
    <t xml:space="preserve">渡辺　彩</t>
  </si>
  <si>
    <t xml:space="preserve">A-20260109</t>
  </si>
  <si>
    <t xml:space="preserve">斎藤　健一</t>
  </si>
  <si>
    <t xml:space="preserve">A-20260110</t>
  </si>
  <si>
    <t xml:space="preserve">山口 太郎</t>
  </si>
  <si>
    <t xml:space="preserve">A-20260111</t>
  </si>
  <si>
    <t xml:space="preserve">A-20260112</t>
  </si>
  <si>
    <t xml:space="preserve">伊藤恵</t>
  </si>
  <si>
    <t xml:space="preserve">A-20260113</t>
  </si>
  <si>
    <t xml:space="preserve">山本 真央</t>
  </si>
  <si>
    <t xml:space="preserve">A-20260114</t>
  </si>
  <si>
    <t xml:space="preserve">A-20260115</t>
  </si>
  <si>
    <t xml:space="preserve">井上彩</t>
  </si>
  <si>
    <t xml:space="preserve">A-20260116</t>
  </si>
  <si>
    <t xml:space="preserve">A-20260117</t>
  </si>
  <si>
    <t xml:space="preserve">林健一</t>
  </si>
  <si>
    <t xml:space="preserve">A-20260118</t>
  </si>
  <si>
    <t xml:space="preserve">A-20260119</t>
  </si>
  <si>
    <t xml:space="preserve">佐々木隆</t>
  </si>
  <si>
    <t xml:space="preserve">A-20260120</t>
  </si>
  <si>
    <t xml:space="preserve">吉田 大輔</t>
  </si>
  <si>
    <t xml:space="preserve">A-20260121</t>
  </si>
  <si>
    <t xml:space="preserve">A-20260122</t>
  </si>
  <si>
    <t xml:space="preserve">A-20260123</t>
  </si>
  <si>
    <t xml:space="preserve">A-20260124</t>
  </si>
  <si>
    <t xml:space="preserve">小林 隆</t>
  </si>
  <si>
    <t xml:space="preserve">A-20260125</t>
  </si>
  <si>
    <t xml:space="preserve">田中 健一</t>
  </si>
  <si>
    <t xml:space="preserve">A-20260126</t>
  </si>
  <si>
    <t xml:space="preserve">A-20260127</t>
  </si>
  <si>
    <t xml:space="preserve">松本　涼</t>
  </si>
  <si>
    <t xml:space="preserve">A-20260128</t>
  </si>
  <si>
    <t xml:space="preserve">佐藤　翔</t>
  </si>
  <si>
    <t xml:space="preserve">A-20260129</t>
  </si>
  <si>
    <t xml:space="preserve">佐々木 太郎</t>
  </si>
  <si>
    <t xml:space="preserve">A-20260130</t>
  </si>
  <si>
    <t xml:space="preserve">A-20260131</t>
  </si>
  <si>
    <t xml:space="preserve">松本 太郎</t>
  </si>
  <si>
    <t xml:space="preserve">A-20260132</t>
  </si>
  <si>
    <t xml:space="preserve">小林花子</t>
  </si>
  <si>
    <t xml:space="preserve">A-20260133</t>
  </si>
  <si>
    <t xml:space="preserve">渡辺 涼</t>
  </si>
  <si>
    <t xml:space="preserve">A-20260134</t>
  </si>
  <si>
    <t xml:space="preserve">A-20260135</t>
  </si>
  <si>
    <t xml:space="preserve">A-20260136</t>
  </si>
  <si>
    <t xml:space="preserve">松本結衣</t>
  </si>
  <si>
    <t xml:space="preserve">A-20260137</t>
  </si>
  <si>
    <t xml:space="preserve">井上　花子</t>
  </si>
  <si>
    <t xml:space="preserve">A-20260138</t>
  </si>
  <si>
    <t xml:space="preserve">伊藤 彩</t>
  </si>
  <si>
    <t xml:space="preserve">A-20260139</t>
  </si>
  <si>
    <t xml:space="preserve">A-20260140</t>
  </si>
  <si>
    <t xml:space="preserve">渡辺 彩</t>
  </si>
  <si>
    <t xml:space="preserve">A-20260141</t>
  </si>
  <si>
    <t xml:space="preserve">渡辺　隆</t>
  </si>
  <si>
    <t xml:space="preserve">A-20260142</t>
  </si>
  <si>
    <t xml:space="preserve">田中太郎</t>
  </si>
  <si>
    <t xml:space="preserve">A-20260143</t>
  </si>
  <si>
    <t xml:space="preserve">A-20260144</t>
  </si>
  <si>
    <t xml:space="preserve">中村 恵</t>
  </si>
  <si>
    <t xml:space="preserve">A-20260145</t>
  </si>
  <si>
    <t xml:space="preserve">高橋 翔</t>
  </si>
  <si>
    <t xml:space="preserve">A-20260146</t>
  </si>
  <si>
    <t xml:space="preserve">中村 太郎</t>
  </si>
  <si>
    <t xml:space="preserve">A-20260147</t>
  </si>
  <si>
    <t xml:space="preserve">A-20260148</t>
  </si>
  <si>
    <t xml:space="preserve">高橋　隆</t>
  </si>
  <si>
    <t xml:space="preserve">A-20260149</t>
  </si>
  <si>
    <t xml:space="preserve">吉田　恵</t>
  </si>
  <si>
    <t xml:space="preserve">A-20260150</t>
  </si>
  <si>
    <t xml:space="preserve">鈴木　健一</t>
  </si>
  <si>
    <t xml:space="preserve">A-20260151</t>
  </si>
  <si>
    <t xml:space="preserve">伊藤花子</t>
  </si>
  <si>
    <t xml:space="preserve">A-20260152</t>
  </si>
  <si>
    <t xml:space="preserve">山口 恵</t>
  </si>
  <si>
    <t xml:space="preserve">A-20260153</t>
  </si>
  <si>
    <t xml:space="preserve">吉田　涼</t>
  </si>
  <si>
    <t xml:space="preserve">A-20260154</t>
  </si>
  <si>
    <t xml:space="preserve">山口 真央</t>
  </si>
  <si>
    <t xml:space="preserve">A-20260155</t>
  </si>
  <si>
    <t xml:space="preserve">A-20260156</t>
  </si>
  <si>
    <t xml:space="preserve">山本　大輔</t>
  </si>
  <si>
    <t xml:space="preserve">A-20260157</t>
  </si>
  <si>
    <t xml:space="preserve">吉田　翔</t>
  </si>
  <si>
    <t xml:space="preserve">A-20260158</t>
  </si>
  <si>
    <t xml:space="preserve">A-20260159</t>
  </si>
  <si>
    <t xml:space="preserve">A-20260160</t>
  </si>
  <si>
    <t xml:space="preserve">A-20260161</t>
  </si>
  <si>
    <t xml:space="preserve">加藤健一</t>
  </si>
  <si>
    <t xml:space="preserve">A-20260162</t>
  </si>
  <si>
    <t xml:space="preserve">山田　彩</t>
  </si>
  <si>
    <t xml:space="preserve">A-20260163</t>
  </si>
  <si>
    <t xml:space="preserve">A-20260164</t>
  </si>
  <si>
    <t xml:space="preserve">佐々木恵</t>
  </si>
  <si>
    <t xml:space="preserve">A-20260165</t>
  </si>
  <si>
    <t xml:space="preserve">A-20260166</t>
  </si>
  <si>
    <t xml:space="preserve">A-20260167</t>
  </si>
  <si>
    <t xml:space="preserve">斎藤 結衣</t>
  </si>
  <si>
    <t xml:space="preserve">A-20260168</t>
  </si>
  <si>
    <t xml:space="preserve">A-20260169</t>
  </si>
  <si>
    <t xml:space="preserve">山田隆</t>
  </si>
  <si>
    <t xml:space="preserve">A-20260170</t>
  </si>
  <si>
    <t xml:space="preserve">斎藤大輔</t>
  </si>
  <si>
    <t xml:space="preserve">A-20260171</t>
  </si>
  <si>
    <t xml:space="preserve">A-20260172</t>
  </si>
  <si>
    <t xml:space="preserve">加藤 翔</t>
  </si>
  <si>
    <t xml:space="preserve">A-20260173</t>
  </si>
  <si>
    <t xml:space="preserve">佐々木 健一</t>
  </si>
  <si>
    <t xml:space="preserve">A-20260174</t>
  </si>
  <si>
    <t xml:space="preserve">渡辺 健一</t>
  </si>
  <si>
    <t xml:space="preserve">A-20260175</t>
  </si>
  <si>
    <t xml:space="preserve">A-20260176</t>
  </si>
  <si>
    <t xml:space="preserve">鈴木　翔</t>
  </si>
  <si>
    <t xml:space="preserve">A-20260177</t>
  </si>
  <si>
    <t xml:space="preserve">鈴木涼</t>
  </si>
  <si>
    <t xml:space="preserve">A-20260178</t>
  </si>
  <si>
    <t xml:space="preserve">佐々木 恵</t>
  </si>
  <si>
    <t xml:space="preserve">A-20260179</t>
  </si>
  <si>
    <t xml:space="preserve">吉田 健一</t>
  </si>
  <si>
    <t xml:space="preserve">A-20260180</t>
  </si>
  <si>
    <t xml:space="preserve">A-20260181</t>
  </si>
  <si>
    <t xml:space="preserve">山口 彩</t>
  </si>
  <si>
    <t xml:space="preserve">A-20260182</t>
  </si>
  <si>
    <t xml:space="preserve">山田　結衣</t>
  </si>
  <si>
    <t xml:space="preserve">A-20260183</t>
  </si>
  <si>
    <t xml:space="preserve">佐藤　太郎</t>
  </si>
  <si>
    <t xml:space="preserve">A-20260184</t>
  </si>
  <si>
    <t xml:space="preserve">伊藤　美咲</t>
  </si>
  <si>
    <t xml:space="preserve">A-20260185</t>
  </si>
  <si>
    <t xml:space="preserve">山田　翔</t>
  </si>
  <si>
    <t xml:space="preserve">A-20260186</t>
  </si>
  <si>
    <t xml:space="preserve">鈴木 真央</t>
  </si>
  <si>
    <t xml:space="preserve">A-20260187</t>
  </si>
  <si>
    <t xml:space="preserve">伊藤　翔</t>
  </si>
  <si>
    <t xml:space="preserve">A-20260188</t>
  </si>
  <si>
    <t xml:space="preserve">A-20260189</t>
  </si>
  <si>
    <t xml:space="preserve">伊藤 結衣</t>
  </si>
  <si>
    <t xml:space="preserve">A-20260190</t>
  </si>
  <si>
    <t xml:space="preserve">斎藤　隆</t>
  </si>
  <si>
    <t xml:space="preserve">A-20260191</t>
  </si>
  <si>
    <t xml:space="preserve">佐藤隆</t>
  </si>
  <si>
    <t xml:space="preserve">A-20260192</t>
  </si>
  <si>
    <t xml:space="preserve">清水 花子</t>
  </si>
  <si>
    <t xml:space="preserve">A-20260193</t>
  </si>
  <si>
    <t xml:space="preserve">加藤 健一</t>
  </si>
  <si>
    <t xml:space="preserve">A-20260194</t>
  </si>
  <si>
    <t xml:space="preserve">山口 翔</t>
  </si>
  <si>
    <t xml:space="preserve">A-20260195</t>
  </si>
  <si>
    <t xml:space="preserve">渡辺 大輔</t>
  </si>
  <si>
    <t xml:space="preserve">A-20260196</t>
  </si>
  <si>
    <t xml:space="preserve">A-20260197</t>
  </si>
  <si>
    <t xml:space="preserve">A-20260198</t>
  </si>
  <si>
    <t xml:space="preserve">A-20260199</t>
  </si>
  <si>
    <t xml:space="preserve">小林 結衣</t>
  </si>
  <si>
    <t xml:space="preserve">A-20260200</t>
  </si>
  <si>
    <t xml:space="preserve">佐々木　隆</t>
  </si>
  <si>
    <t xml:space="preserve">A-20260201</t>
  </si>
  <si>
    <t xml:space="preserve">松本　真央</t>
  </si>
  <si>
    <t xml:space="preserve">A-20260202</t>
  </si>
  <si>
    <t xml:space="preserve">A-20260203</t>
  </si>
  <si>
    <t xml:space="preserve">渡辺 花子</t>
  </si>
  <si>
    <t xml:space="preserve">A-20260204</t>
  </si>
  <si>
    <t xml:space="preserve">清水彩</t>
  </si>
  <si>
    <t xml:space="preserve">A-20260205</t>
  </si>
  <si>
    <t xml:space="preserve">松本　結衣</t>
  </si>
  <si>
    <t xml:space="preserve">A-20260206</t>
  </si>
  <si>
    <t xml:space="preserve">渡辺 美咲</t>
  </si>
  <si>
    <t xml:space="preserve">A-20260207</t>
  </si>
  <si>
    <t xml:space="preserve">山口 花子</t>
  </si>
  <si>
    <t xml:space="preserve">A-20260208</t>
  </si>
  <si>
    <t xml:space="preserve">松本真央</t>
  </si>
  <si>
    <t xml:space="preserve">A-20260209</t>
  </si>
  <si>
    <t xml:space="preserve">A-20260210</t>
  </si>
  <si>
    <t xml:space="preserve">林大輔</t>
  </si>
  <si>
    <t xml:space="preserve">A-20260211</t>
  </si>
  <si>
    <t xml:space="preserve">山口　隆</t>
  </si>
  <si>
    <t xml:space="preserve">A-20260212</t>
  </si>
  <si>
    <t xml:space="preserve">加藤 涼</t>
  </si>
  <si>
    <t xml:space="preserve">A-20260213</t>
  </si>
  <si>
    <t xml:space="preserve">清水大輔</t>
  </si>
  <si>
    <t xml:space="preserve">A-20260214</t>
  </si>
  <si>
    <t xml:space="preserve">A-20260215</t>
  </si>
  <si>
    <t xml:space="preserve">林彩</t>
  </si>
  <si>
    <t xml:space="preserve">A-20260216</t>
  </si>
  <si>
    <t xml:space="preserve">A-20260217</t>
  </si>
  <si>
    <t xml:space="preserve">A-20260218</t>
  </si>
  <si>
    <t xml:space="preserve">山田　花子</t>
  </si>
  <si>
    <t xml:space="preserve">A-20260219</t>
  </si>
  <si>
    <t xml:space="preserve">山本　美咲</t>
  </si>
  <si>
    <t xml:space="preserve">A-20260220</t>
  </si>
  <si>
    <t xml:space="preserve">中村 涼</t>
  </si>
  <si>
    <t xml:space="preserve">A-20260221</t>
  </si>
  <si>
    <t xml:space="preserve">小林隆</t>
  </si>
  <si>
    <t xml:space="preserve">A-20260222</t>
  </si>
  <si>
    <t xml:space="preserve">高橋 隆</t>
  </si>
  <si>
    <t xml:space="preserve">A-20260223</t>
  </si>
  <si>
    <t xml:space="preserve">山田真央</t>
  </si>
  <si>
    <t xml:space="preserve">A-20260224</t>
  </si>
  <si>
    <t xml:space="preserve">加藤太郎</t>
  </si>
  <si>
    <t xml:space="preserve">A-20260225</t>
  </si>
  <si>
    <t xml:space="preserve">A-20260226</t>
  </si>
  <si>
    <t xml:space="preserve">小林 健一</t>
  </si>
  <si>
    <t xml:space="preserve">A-20260227</t>
  </si>
  <si>
    <t xml:space="preserve">松本 美咲</t>
  </si>
  <si>
    <t xml:space="preserve">A-20260228</t>
  </si>
  <si>
    <t xml:space="preserve">A-20260229</t>
  </si>
  <si>
    <t xml:space="preserve">吉田　大輔</t>
  </si>
  <si>
    <t xml:space="preserve">A-20260230</t>
  </si>
  <si>
    <t xml:space="preserve">伊藤翔</t>
  </si>
  <si>
    <t xml:space="preserve">A-20260231</t>
  </si>
  <si>
    <t xml:space="preserve">A-20260232</t>
  </si>
  <si>
    <t xml:space="preserve">木村　美咲</t>
  </si>
  <si>
    <t xml:space="preserve">A-20260233</t>
  </si>
  <si>
    <t xml:space="preserve">A-20260234</t>
  </si>
  <si>
    <t xml:space="preserve">A-20260235</t>
  </si>
  <si>
    <t xml:space="preserve">清水 涼</t>
  </si>
  <si>
    <t xml:space="preserve">A-20260236</t>
  </si>
  <si>
    <t xml:space="preserve">吉田　健一</t>
  </si>
  <si>
    <t xml:space="preserve">A-20260237</t>
  </si>
  <si>
    <t xml:space="preserve">A-20260238</t>
  </si>
  <si>
    <t xml:space="preserve">山田 恵</t>
  </si>
  <si>
    <t xml:space="preserve">A-20260239</t>
  </si>
  <si>
    <t xml:space="preserve">山口花子</t>
  </si>
  <si>
    <t xml:space="preserve">A-20260240</t>
  </si>
  <si>
    <t xml:space="preserve">田中大輔</t>
  </si>
  <si>
    <t xml:space="preserve">A-20260241</t>
  </si>
  <si>
    <t xml:space="preserve">A-20260242</t>
  </si>
  <si>
    <t xml:space="preserve">伊藤健一</t>
  </si>
  <si>
    <t xml:space="preserve">A-20260243</t>
  </si>
  <si>
    <t xml:space="preserve">田中　花子</t>
  </si>
  <si>
    <t xml:space="preserve">A-20260244</t>
  </si>
  <si>
    <t xml:space="preserve">小林　隆</t>
  </si>
  <si>
    <t xml:space="preserve">A-20260245</t>
  </si>
  <si>
    <t xml:space="preserve">佐藤恵</t>
  </si>
  <si>
    <t xml:space="preserve">A-20260246</t>
  </si>
  <si>
    <t xml:space="preserve">A-20260247</t>
  </si>
  <si>
    <t xml:space="preserve">A-20260248</t>
  </si>
  <si>
    <t xml:space="preserve">伊藤　涼</t>
  </si>
  <si>
    <t xml:space="preserve">A-20260249</t>
  </si>
  <si>
    <t xml:space="preserve">A-20260250</t>
  </si>
  <si>
    <t xml:space="preserve">A-20260251</t>
  </si>
  <si>
    <t xml:space="preserve">佐藤 太郎</t>
  </si>
  <si>
    <t xml:space="preserve">A-20260252</t>
  </si>
  <si>
    <t xml:space="preserve">伊藤涼</t>
  </si>
  <si>
    <t xml:space="preserve">A-20260253</t>
  </si>
  <si>
    <t xml:space="preserve">井上 真央</t>
  </si>
  <si>
    <t xml:space="preserve">A-20260254</t>
  </si>
  <si>
    <t xml:space="preserve">A-20260255</t>
  </si>
  <si>
    <t xml:space="preserve">A-20260256</t>
  </si>
  <si>
    <t xml:space="preserve">田中　結衣</t>
  </si>
  <si>
    <t xml:space="preserve">A-20260257</t>
  </si>
  <si>
    <t xml:space="preserve">田中　美咲</t>
  </si>
  <si>
    <t xml:space="preserve">A-20260258</t>
  </si>
  <si>
    <t xml:space="preserve">吉田　花子</t>
  </si>
  <si>
    <t xml:space="preserve">A-20260259</t>
  </si>
  <si>
    <t xml:space="preserve">A-20260260</t>
  </si>
  <si>
    <t xml:space="preserve">山口　彩</t>
  </si>
  <si>
    <t xml:space="preserve">A-20260261</t>
  </si>
  <si>
    <t xml:space="preserve">山田 結衣</t>
  </si>
  <si>
    <t xml:space="preserve">A-20260262</t>
  </si>
  <si>
    <t xml:space="preserve">斎藤　太郎</t>
  </si>
  <si>
    <t xml:space="preserve">A-20260263</t>
  </si>
  <si>
    <t xml:space="preserve">A-20260264</t>
  </si>
  <si>
    <t xml:space="preserve">佐藤　美咲</t>
  </si>
  <si>
    <t xml:space="preserve">A-20260265</t>
  </si>
  <si>
    <t xml:space="preserve">A-20260266</t>
  </si>
  <si>
    <t xml:space="preserve">A-20260267</t>
  </si>
  <si>
    <t xml:space="preserve">A-20260268</t>
  </si>
  <si>
    <t xml:space="preserve">標準単価</t>
  </si>
  <si>
    <t xml:space="preserve">原価</t>
  </si>
  <si>
    <t xml:space="preserve">・2026年1月の営業日：1/1-1/3は全店休業（ECのみ稼働）</t>
  </si>
  <si>
    <t xml:space="preserve">・1/13-1/19は「新春ギフトフェア」実施（ギフトカテゴリ中心に販促）</t>
  </si>
  <si>
    <t xml:space="preserve">・EC送料は本表に含まない</t>
  </si>
  <si>
    <t xml:space="preserve">・法人顧客はまとめ買いが中心。請求は翌月払い</t>
  </si>
  <si>
    <t xml:space="preserve">・目標：1月売上 3,000,000円（全店合計・税抜）</t>
  </si>
  <si>
    <t xml:space="preserve">件数</t>
  </si>
  <si>
    <t xml:space="preserve">粗利率</t>
  </si>
  <si>
    <t xml:space="preserve">合計</t>
  </si>
  <si>
    <t xml:space="preserve">区分なし</t>
  </si>
  <si>
    <t xml:space="preserve">日付</t>
  </si>
  <si>
    <t xml:space="preserve">新春ギフトフェア期間</t>
  </si>
</sst>
</file>

<file path=xl/styles.xml><?xml version="1.0" encoding="utf-8"?>
<styleSheet xmlns="http://schemas.openxmlformats.org/spreadsheetml/2006/main">
  <numFmts count="4">
    <numFmt numFmtId="164" formatCode="General"/>
    <numFmt numFmtId="165" formatCode="#,##0"/>
    <numFmt numFmtId="166" formatCode="0.0%"/>
    <numFmt numFmtId="167" formatCode="yyyy\-mm\-dd"/>
  </numFmts>
  <fonts count="18">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b val="true"/>
      <sz val="14"/>
      <name val="WenQuanYi Zen Hei"/>
      <family val="2"/>
    </font>
    <font>
      <i val="true"/>
      <sz val="9"/>
      <color rgb="FF666666"/>
      <name val="WenQuanYi Zen Hei"/>
      <family val="2"/>
      <charset val="1"/>
    </font>
    <font>
      <b val="true"/>
      <sz val="12"/>
      <name val="Arial"/>
      <family val="0"/>
      <charset val="1"/>
    </font>
    <font>
      <b val="true"/>
      <sz val="12"/>
      <name val="WenQuanYi Zen Hei"/>
      <family val="2"/>
    </font>
    <font>
      <sz val="11"/>
      <name val="WenQuanYi Zen Hei"/>
      <family val="2"/>
      <charset val="1"/>
    </font>
    <font>
      <sz val="11"/>
      <color rgb="FF0000FF"/>
      <name val="Arial"/>
      <family val="0"/>
      <charset val="1"/>
    </font>
    <font>
      <sz val="11"/>
      <name val="Arial"/>
      <family val="0"/>
      <charset val="1"/>
    </font>
    <font>
      <b val="true"/>
      <sz val="11"/>
      <name val="Arial"/>
      <family val="0"/>
      <charset val="1"/>
    </font>
    <font>
      <b val="true"/>
      <sz val="11"/>
      <name val="WenQuanYi Zen Hei"/>
      <family val="2"/>
      <charset val="1"/>
    </font>
    <font>
      <b val="true"/>
      <sz val="12"/>
      <name val="WenQuanYi Zen Hei"/>
      <family val="2"/>
      <charset val="1"/>
    </font>
    <font>
      <sz val="11"/>
      <name val="WenQuanYi Zen Hei"/>
      <family val="2"/>
    </font>
    <font>
      <sz val="11"/>
      <color rgb="FFCC6600"/>
      <name val="Arial"/>
      <family val="0"/>
      <charset val="1"/>
    </font>
    <font>
      <b val="true"/>
      <sz val="11"/>
      <name val="WenQuanYi Zen Hei"/>
      <family val="2"/>
    </font>
  </fonts>
  <fills count="4">
    <fill>
      <patternFill patternType="none"/>
    </fill>
    <fill>
      <patternFill patternType="gray125"/>
    </fill>
    <fill>
      <patternFill patternType="solid">
        <fgColor rgb="FFD9E1F2"/>
        <bgColor rgb="FFE2EFDA"/>
      </patternFill>
    </fill>
    <fill>
      <patternFill patternType="solid">
        <fgColor rgb="FFE2EFDA"/>
        <bgColor rgb="FFD9E1F2"/>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2">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general" vertical="bottom" textRotation="0" wrapText="false" indent="0" shrinkToFit="false"/>
      <protection locked="true" hidden="false"/>
    </xf>
    <xf numFmtId="165" fontId="10" fillId="0" borderId="0" xfId="0" applyFont="true" applyBorder="false" applyAlignment="true" applyProtection="false">
      <alignment horizontal="general" vertical="bottom" textRotation="0" wrapText="false" indent="0" shrinkToFit="false"/>
      <protection locked="true" hidden="false"/>
    </xf>
    <xf numFmtId="165" fontId="11" fillId="0" borderId="0" xfId="0" applyFont="true" applyBorder="false" applyAlignment="true" applyProtection="false">
      <alignment horizontal="general" vertical="bottom" textRotation="0" wrapText="false" indent="0" shrinkToFit="false"/>
      <protection locked="true" hidden="false"/>
    </xf>
    <xf numFmtId="166" fontId="12" fillId="0" borderId="0" xfId="0" applyFont="true" applyBorder="false" applyAlignment="true" applyProtection="false">
      <alignment horizontal="general" vertical="bottom" textRotation="0" wrapText="false" indent="0" shrinkToFit="false"/>
      <protection locked="true" hidden="false"/>
    </xf>
    <xf numFmtId="167" fontId="10" fillId="0" borderId="0" xfId="0" applyFont="true" applyBorder="false" applyAlignment="true" applyProtection="false">
      <alignment horizontal="general" vertical="bottom" textRotation="0" wrapText="false" indent="0" shrinkToFit="false"/>
      <protection locked="true" hidden="false"/>
    </xf>
    <xf numFmtId="164" fontId="12" fillId="2" borderId="0" xfId="0" applyFont="true" applyBorder="false" applyAlignment="true" applyProtection="false">
      <alignment horizontal="general" vertical="bottom" textRotation="0" wrapText="false" indent="0" shrinkToFit="false"/>
      <protection locked="true" hidden="false"/>
    </xf>
    <xf numFmtId="164" fontId="13" fillId="2" borderId="0" xfId="0" applyFont="true" applyBorder="false" applyAlignment="true" applyProtection="false">
      <alignment horizontal="general" vertical="bottom" textRotation="0" wrapText="false" indent="0" shrinkToFit="false"/>
      <protection locked="true" hidden="false"/>
    </xf>
    <xf numFmtId="164" fontId="14" fillId="0" borderId="0" xfId="0" applyFont="true" applyBorder="false" applyAlignment="true" applyProtection="false">
      <alignment horizontal="general" vertical="bottom" textRotation="0" wrapText="false" indent="0" shrinkToFit="false"/>
      <protection locked="true" hidden="false"/>
    </xf>
    <xf numFmtId="164" fontId="11" fillId="0" borderId="0" xfId="0" applyFont="true" applyBorder="true" applyAlignment="true" applyProtection="false">
      <alignment horizontal="general" vertical="top" textRotation="0" wrapText="true" indent="0" shrinkToFit="false"/>
      <protection locked="true" hidden="false"/>
    </xf>
    <xf numFmtId="164" fontId="11" fillId="0" borderId="0" xfId="0" applyFont="true" applyBorder="false" applyAlignment="true" applyProtection="false">
      <alignment horizontal="general" vertical="bottom" textRotation="0" wrapText="false" indent="0" shrinkToFit="false"/>
      <protection locked="true" hidden="false"/>
    </xf>
    <xf numFmtId="167" fontId="11" fillId="0" borderId="0" xfId="0" applyFont="true" applyBorder="false" applyAlignment="true" applyProtection="false">
      <alignment horizontal="general" vertical="bottom" textRotation="0" wrapText="false" indent="0" shrinkToFit="false"/>
      <protection locked="true" hidden="false"/>
    </xf>
    <xf numFmtId="164" fontId="16" fillId="0" borderId="0" xfId="0" applyFont="true" applyBorder="false" applyAlignment="true" applyProtection="false">
      <alignment horizontal="general" vertical="bottom" textRotation="0" wrapText="false" indent="0" shrinkToFit="false"/>
      <protection locked="true" hidden="false"/>
    </xf>
    <xf numFmtId="164" fontId="13" fillId="3" borderId="0" xfId="0" applyFont="true" applyBorder="false" applyAlignment="true" applyProtection="false">
      <alignment horizontal="general" vertical="bottom" textRotation="0" wrapText="false" indent="0" shrinkToFit="false"/>
      <protection locked="true" hidden="false"/>
    </xf>
    <xf numFmtId="166" fontId="11" fillId="0" borderId="0" xfId="0" applyFont="true" applyBorder="false" applyAlignment="true" applyProtection="false">
      <alignment horizontal="general" vertical="bottom" textRotation="0" wrapText="false" indent="0" shrinkToFit="false"/>
      <protection locked="true" hidden="false"/>
    </xf>
    <xf numFmtId="164" fontId="13" fillId="0" borderId="0" xfId="0" applyFont="true" applyBorder="false" applyAlignment="true" applyProtection="false">
      <alignment horizontal="general" vertical="bottom" textRotation="0" wrapText="false" indent="0" shrinkToFit="false"/>
      <protection locked="true" hidden="false"/>
    </xf>
    <xf numFmtId="165" fontId="12" fillId="0" borderId="0" xfId="0" applyFont="true" applyBorder="false" applyAlignment="true" applyProtection="false">
      <alignment horizontal="general" vertical="bottom" textRotation="0" wrapText="false" indent="0" shrinkToFit="false"/>
      <protection locked="true" hidden="false"/>
    </xf>
    <xf numFmtId="164" fontId="17" fillId="0" borderId="0" xfId="0" applyFont="true" applyBorder="fals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D9E1F2"/>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FCC99"/>
      <rgbColor rgb="FF3366FF"/>
      <rgbColor rgb="FF33CCCC"/>
      <rgbColor rgb="FF99CC00"/>
      <rgbColor rgb="FFFFCC00"/>
      <rgbColor rgb="FFFF9900"/>
      <rgbColor rgb="FFCC6600"/>
      <rgbColor rgb="FF666666"/>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26"/>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30"/>
    <col collapsed="false" customWidth="true" hidden="false" outlineLevel="0" max="5" min="2" style="1" width="18"/>
  </cols>
  <sheetData>
    <row r="1" customFormat="false" ht="18.75" hidden="false" customHeight="true" outlineLevel="0" collapsed="false">
      <c r="A1" s="2" t="s">
        <v>0</v>
      </c>
    </row>
    <row r="2" customFormat="false" ht="15" hidden="false" customHeight="true" outlineLevel="0" collapsed="false">
      <c r="A2" s="3" t="s">
        <v>1</v>
      </c>
    </row>
    <row r="4" customFormat="false" ht="15.75" hidden="false" customHeight="true" outlineLevel="0" collapsed="false">
      <c r="A4" s="4" t="s">
        <v>2</v>
      </c>
    </row>
    <row r="5" customFormat="false" ht="15" hidden="false" customHeight="true" outlineLevel="0" collapsed="false">
      <c r="A5" s="5" t="s">
        <v>3</v>
      </c>
      <c r="B5" s="6" t="n">
        <v>3000000</v>
      </c>
      <c r="C5" s="3" t="s">
        <v>4</v>
      </c>
    </row>
    <row r="6" customFormat="false" ht="15" hidden="false" customHeight="true" outlineLevel="0" collapsed="false">
      <c r="A6" s="5" t="s">
        <v>5</v>
      </c>
      <c r="B6" s="7" t="n">
        <f aca="false">SUMIFS(1月売上!$P$2:$P$269,1月売上!$N$2:$N$269,"有効")</f>
        <v>2116962</v>
      </c>
    </row>
    <row r="7" customFormat="false" ht="15" hidden="false" customHeight="true" outlineLevel="0" collapsed="false">
      <c r="A7" s="5" t="s">
        <v>6</v>
      </c>
      <c r="B7" s="8" t="n">
        <f aca="false">B6/B5</f>
        <v>0.705654</v>
      </c>
    </row>
    <row r="8" customFormat="false" ht="15" hidden="false" customHeight="true" outlineLevel="0" collapsed="false">
      <c r="A8" s="5" t="s">
        <v>7</v>
      </c>
      <c r="B8" s="7" t="n">
        <f aca="false">SUMIFS(1月売上!$R$2:$R$269,1月売上!$N$2:$N$269,"有効")</f>
        <v>1059182</v>
      </c>
    </row>
    <row r="10" customFormat="false" ht="15.75" hidden="false" customHeight="true" outlineLevel="0" collapsed="false">
      <c r="A10" s="4" t="s">
        <v>8</v>
      </c>
    </row>
    <row r="11" customFormat="false" ht="15" hidden="false" customHeight="true" outlineLevel="0" collapsed="false">
      <c r="A11" s="3" t="s">
        <v>9</v>
      </c>
    </row>
    <row r="13" customFormat="false" ht="15" hidden="false" customHeight="true" outlineLevel="0" collapsed="false">
      <c r="A13" s="5" t="s">
        <v>10</v>
      </c>
      <c r="B13" s="9" t="n">
        <f aca="false">DATE(2026,1,13)</f>
        <v>46035</v>
      </c>
    </row>
    <row r="14" customFormat="false" ht="15" hidden="false" customHeight="true" outlineLevel="0" collapsed="false">
      <c r="A14" s="5" t="s">
        <v>11</v>
      </c>
      <c r="B14" s="9" t="n">
        <f aca="false">DATE(2026,1,19)</f>
        <v>46041</v>
      </c>
    </row>
    <row r="15" customFormat="false" ht="15" hidden="false" customHeight="true" outlineLevel="0" collapsed="false">
      <c r="A15" s="5" t="s">
        <v>12</v>
      </c>
      <c r="B15" s="5" t="n">
        <f aca="false">B14-B13+1</f>
        <v>7</v>
      </c>
    </row>
    <row r="16" customFormat="false" ht="15" hidden="false" customHeight="true" outlineLevel="0" collapsed="false">
      <c r="A16" s="5" t="s">
        <v>13</v>
      </c>
      <c r="B16" s="5" t="n">
        <f aca="false">31-B15</f>
        <v>24</v>
      </c>
    </row>
    <row r="18" customFormat="false" ht="15" hidden="false" customHeight="true" outlineLevel="0" collapsed="false">
      <c r="A18" s="10"/>
      <c r="B18" s="11" t="s">
        <v>14</v>
      </c>
      <c r="C18" s="11" t="s">
        <v>15</v>
      </c>
      <c r="D18" s="11" t="s">
        <v>16</v>
      </c>
      <c r="E18" s="11" t="s">
        <v>17</v>
      </c>
    </row>
    <row r="19" customFormat="false" ht="15" hidden="false" customHeight="true" outlineLevel="0" collapsed="false">
      <c r="A19" s="5" t="s">
        <v>18</v>
      </c>
      <c r="B19" s="7" t="n">
        <f aca="false">SUMIFS(1月売上!$P$2:$P$269,1月売上!$B$2:$B$269,"&gt;="&amp;$B$13,1月売上!$B$2:$B$269,"&lt;="&amp;$B$14,1月売上!$N$2:$N$269,"有効")</f>
        <v>555726</v>
      </c>
      <c r="C19" s="7" t="n">
        <f aca="false">B6-B19</f>
        <v>1561236</v>
      </c>
    </row>
    <row r="20" customFormat="false" ht="15" hidden="false" customHeight="true" outlineLevel="0" collapsed="false">
      <c r="A20" s="5" t="s">
        <v>19</v>
      </c>
      <c r="B20" s="7" t="n">
        <f aca="false">B19/B15</f>
        <v>79389.4285714286</v>
      </c>
      <c r="C20" s="7" t="n">
        <f aca="false">C19/B16</f>
        <v>65051.5</v>
      </c>
      <c r="D20" s="7" t="n">
        <f aca="false">B20-C20</f>
        <v>14337.9285714286</v>
      </c>
      <c r="E20" s="8" t="n">
        <f aca="false">B20/C20-1</f>
        <v>0.220408884828614</v>
      </c>
    </row>
    <row r="22" customFormat="false" ht="15" hidden="false" customHeight="true" outlineLevel="0" collapsed="false">
      <c r="A22" s="5" t="s">
        <v>20</v>
      </c>
      <c r="B22" s="7" t="n">
        <f aca="false">SUMIFS(1月売上!$P$2:$P$269,1月売上!$B$2:$B$269,"&gt;="&amp;$B$13,1月売上!$B$2:$B$269,"&lt;="&amp;$B$14,1月売上!$G$2:$G$269,"ギフト",1月売上!$N$2:$N$269,"有効")</f>
        <v>144880</v>
      </c>
      <c r="C22" s="7" t="n">
        <f aca="false">SUMIFS(1月売上!$P$2:$P$269,1月売上!$G$2:$G$269,"ギフト",1月売上!$N$2:$N$269,"有効")-B22</f>
        <v>542740</v>
      </c>
    </row>
    <row r="23" customFormat="false" ht="15" hidden="false" customHeight="true" outlineLevel="0" collapsed="false">
      <c r="A23" s="5" t="s">
        <v>21</v>
      </c>
      <c r="B23" s="7" t="n">
        <f aca="false">B22/B15</f>
        <v>20697.1428571429</v>
      </c>
      <c r="C23" s="7" t="n">
        <f aca="false">C22/B16</f>
        <v>22614.1666666667</v>
      </c>
      <c r="D23" s="7" t="n">
        <f aca="false">B23-C23</f>
        <v>-1917.02380952381</v>
      </c>
      <c r="E23" s="8" t="n">
        <f aca="false">B23/C23-1</f>
        <v>-0.0847709242520754</v>
      </c>
    </row>
    <row r="25" customFormat="false" ht="15" hidden="false" customHeight="true" outlineLevel="0" collapsed="false">
      <c r="A25" s="12" t="s">
        <v>22</v>
      </c>
    </row>
    <row r="26" customFormat="false" ht="109.5" hidden="false" customHeight="true" outlineLevel="0" collapsed="false">
      <c r="A26" s="13" t="s">
        <v>23</v>
      </c>
      <c r="B26" s="13"/>
      <c r="C26" s="13"/>
      <c r="D26" s="13"/>
      <c r="E26" s="13"/>
    </row>
  </sheetData>
  <mergeCells count="1">
    <mergeCell ref="A26:E26"/>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R26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3" min="1" style="1" width="12"/>
    <col collapsed="false" customWidth="true" hidden="false" outlineLevel="0" max="4" min="4" style="1" width="10"/>
    <col collapsed="false" customWidth="true" hidden="false" outlineLevel="0" max="5" min="5" style="1" width="18"/>
    <col collapsed="false" customWidth="true" hidden="false" outlineLevel="0" max="6" min="6" style="1" width="10"/>
    <col collapsed="false" customWidth="true" hidden="false" outlineLevel="0" max="7" min="7" style="1" width="12"/>
    <col collapsed="false" customWidth="true" hidden="false" outlineLevel="0" max="8" min="8" style="1" width="22"/>
    <col collapsed="false" customWidth="true" hidden="false" outlineLevel="0" max="9" min="9" style="1" width="8"/>
    <col collapsed="false" customWidth="true" hidden="false" outlineLevel="0" max="10" min="10" style="1" width="12"/>
    <col collapsed="false" customWidth="true" hidden="false" outlineLevel="0" max="11" min="11" style="1" width="10"/>
    <col collapsed="false" customWidth="true" hidden="false" outlineLevel="0" max="13" min="12" style="1" width="14"/>
    <col collapsed="false" customWidth="true" hidden="false" outlineLevel="0" max="14" min="14" style="1" width="12"/>
    <col collapsed="false" customWidth="true" hidden="false" outlineLevel="0" max="15" min="15" style="1" width="10"/>
    <col collapsed="false" customWidth="true" hidden="false" outlineLevel="0" max="16" min="16" style="1" width="12"/>
    <col collapsed="false" customWidth="true" hidden="false" outlineLevel="0" max="17" min="17" style="1" width="10"/>
    <col collapsed="false" customWidth="true" hidden="false" outlineLevel="0" max="18" min="18" style="1" width="12"/>
  </cols>
  <sheetData>
    <row r="1" customFormat="false" ht="15" hidden="false" customHeight="true" outlineLevel="0" collapsed="false">
      <c r="A1" s="11" t="s">
        <v>24</v>
      </c>
      <c r="B1" s="11" t="s">
        <v>25</v>
      </c>
      <c r="C1" s="11" t="s">
        <v>26</v>
      </c>
      <c r="D1" s="11" t="s">
        <v>27</v>
      </c>
      <c r="E1" s="11" t="s">
        <v>28</v>
      </c>
      <c r="F1" s="11" t="s">
        <v>29</v>
      </c>
      <c r="G1" s="11" t="s">
        <v>30</v>
      </c>
      <c r="H1" s="11" t="s">
        <v>31</v>
      </c>
      <c r="I1" s="11" t="s">
        <v>32</v>
      </c>
      <c r="J1" s="11" t="s">
        <v>33</v>
      </c>
      <c r="K1" s="11" t="s">
        <v>34</v>
      </c>
      <c r="L1" s="11" t="s">
        <v>35</v>
      </c>
      <c r="M1" s="11" t="s">
        <v>36</v>
      </c>
      <c r="N1" s="11" t="s">
        <v>37</v>
      </c>
      <c r="O1" s="11" t="s">
        <v>38</v>
      </c>
      <c r="P1" s="11" t="s">
        <v>39</v>
      </c>
      <c r="Q1" s="11" t="s">
        <v>40</v>
      </c>
      <c r="R1" s="11" t="s">
        <v>41</v>
      </c>
    </row>
    <row r="2" customFormat="false" ht="15" hidden="false" customHeight="true" outlineLevel="0" collapsed="false">
      <c r="A2" s="14" t="s">
        <v>42</v>
      </c>
      <c r="B2" s="15" t="n">
        <v>46040</v>
      </c>
      <c r="C2" s="5" t="s">
        <v>43</v>
      </c>
      <c r="D2" s="5" t="s">
        <v>44</v>
      </c>
      <c r="E2" s="5" t="s">
        <v>45</v>
      </c>
      <c r="F2" s="5" t="s">
        <v>46</v>
      </c>
      <c r="G2" s="5" t="s">
        <v>47</v>
      </c>
      <c r="H2" s="5" t="s">
        <v>48</v>
      </c>
      <c r="I2" s="5" t="n">
        <v>20</v>
      </c>
      <c r="J2" s="5" t="n">
        <v>980</v>
      </c>
      <c r="K2" s="5" t="n">
        <v>0</v>
      </c>
      <c r="L2" s="5" t="s">
        <v>49</v>
      </c>
      <c r="M2" s="5" t="s">
        <v>50</v>
      </c>
      <c r="N2" s="5" t="s">
        <v>51</v>
      </c>
      <c r="O2" s="5"/>
      <c r="P2" s="7" t="n">
        <f aca="false">I2*J2*(1-K2)</f>
        <v>19600</v>
      </c>
      <c r="Q2" s="7" t="n">
        <f aca="false">INDEX(商品マスタ!$D:$D,MATCH(H2,商品マスタ!$A:$A,0))</f>
        <v>420</v>
      </c>
      <c r="R2" s="7" t="n">
        <f aca="false">P2-I2*Q2</f>
        <v>11200</v>
      </c>
    </row>
    <row r="3" customFormat="false" ht="15" hidden="false" customHeight="true" outlineLevel="0" collapsed="false">
      <c r="A3" s="14" t="s">
        <v>52</v>
      </c>
      <c r="B3" s="15" t="n">
        <v>46035</v>
      </c>
      <c r="C3" s="5" t="s">
        <v>53</v>
      </c>
      <c r="D3" s="5" t="s">
        <v>44</v>
      </c>
      <c r="E3" s="14" t="s">
        <v>54</v>
      </c>
      <c r="F3" s="5" t="s">
        <v>46</v>
      </c>
      <c r="G3" s="5" t="s">
        <v>47</v>
      </c>
      <c r="H3" s="5" t="s">
        <v>55</v>
      </c>
      <c r="I3" s="5" t="n">
        <v>5</v>
      </c>
      <c r="J3" s="5" t="n">
        <v>1500</v>
      </c>
      <c r="K3" s="5" t="n">
        <v>0</v>
      </c>
      <c r="L3" s="5" t="s">
        <v>56</v>
      </c>
      <c r="M3" s="5"/>
      <c r="N3" s="5" t="s">
        <v>57</v>
      </c>
      <c r="O3" s="5"/>
      <c r="P3" s="7" t="n">
        <f aca="false">I3*J3*(1-K3)</f>
        <v>7500</v>
      </c>
      <c r="Q3" s="7" t="n">
        <f aca="false">INDEX(商品マスタ!$D:$D,MATCH(H3,商品マスタ!$A:$A,0))</f>
        <v>680</v>
      </c>
      <c r="R3" s="7" t="n">
        <f aca="false">P3-I3*Q3</f>
        <v>4100</v>
      </c>
    </row>
    <row r="4" customFormat="false" ht="15" hidden="false" customHeight="true" outlineLevel="0" collapsed="false">
      <c r="A4" s="14" t="s">
        <v>58</v>
      </c>
      <c r="B4" s="15" t="n">
        <v>46042</v>
      </c>
      <c r="C4" s="5" t="s">
        <v>59</v>
      </c>
      <c r="D4" s="5" t="s">
        <v>44</v>
      </c>
      <c r="E4" s="5" t="s">
        <v>60</v>
      </c>
      <c r="F4" s="5" t="s">
        <v>61</v>
      </c>
      <c r="G4" s="5" t="s">
        <v>62</v>
      </c>
      <c r="H4" s="5" t="s">
        <v>63</v>
      </c>
      <c r="I4" s="5" t="n">
        <v>1</v>
      </c>
      <c r="J4" s="5" t="n">
        <v>480</v>
      </c>
      <c r="K4" s="5" t="n">
        <v>0</v>
      </c>
      <c r="L4" s="5" t="s">
        <v>64</v>
      </c>
      <c r="M4" s="5"/>
      <c r="N4" s="5" t="s">
        <v>57</v>
      </c>
      <c r="O4" s="5"/>
      <c r="P4" s="7" t="n">
        <f aca="false">I4*J4*(1-K4)</f>
        <v>480</v>
      </c>
      <c r="Q4" s="7" t="n">
        <f aca="false">INDEX(商品マスタ!$D:$D,MATCH(H4,商品マスタ!$A:$A,0))</f>
        <v>180</v>
      </c>
      <c r="R4" s="7" t="n">
        <f aca="false">P4-I4*Q4</f>
        <v>300</v>
      </c>
    </row>
    <row r="5" customFormat="false" ht="15" hidden="false" customHeight="true" outlineLevel="0" collapsed="false">
      <c r="A5" s="14" t="s">
        <v>65</v>
      </c>
      <c r="B5" s="15" t="n">
        <v>46033</v>
      </c>
      <c r="C5" s="5" t="s">
        <v>53</v>
      </c>
      <c r="D5" s="5" t="s">
        <v>44</v>
      </c>
      <c r="E5" s="5" t="s">
        <v>66</v>
      </c>
      <c r="F5" s="5"/>
      <c r="G5" s="5" t="s">
        <v>67</v>
      </c>
      <c r="H5" s="5" t="s">
        <v>68</v>
      </c>
      <c r="I5" s="5" t="n">
        <v>2</v>
      </c>
      <c r="J5" s="5" t="n">
        <v>1200</v>
      </c>
      <c r="K5" s="5" t="n">
        <v>0</v>
      </c>
      <c r="L5" s="5" t="s">
        <v>64</v>
      </c>
      <c r="M5" s="5"/>
      <c r="N5" s="5" t="s">
        <v>57</v>
      </c>
      <c r="O5" s="5"/>
      <c r="P5" s="7" t="n">
        <f aca="false">I5*J5*(1-K5)</f>
        <v>2400</v>
      </c>
      <c r="Q5" s="7" t="n">
        <f aca="false">INDEX(商品マスタ!$D:$D,MATCH(H5,商品マスタ!$A:$A,0))</f>
        <v>520</v>
      </c>
      <c r="R5" s="7" t="n">
        <f aca="false">P5-I5*Q5</f>
        <v>1360</v>
      </c>
    </row>
    <row r="6" customFormat="false" ht="15" hidden="false" customHeight="true" outlineLevel="0" collapsed="false">
      <c r="A6" s="14" t="s">
        <v>69</v>
      </c>
      <c r="B6" s="15" t="n">
        <v>46051</v>
      </c>
      <c r="C6" s="5" t="s">
        <v>53</v>
      </c>
      <c r="D6" s="14" t="s">
        <v>70</v>
      </c>
      <c r="E6" s="5" t="s">
        <v>71</v>
      </c>
      <c r="F6" s="5"/>
      <c r="G6" s="5" t="s">
        <v>67</v>
      </c>
      <c r="H6" s="5" t="s">
        <v>68</v>
      </c>
      <c r="I6" s="5" t="n">
        <v>1</v>
      </c>
      <c r="J6" s="5" t="n">
        <v>1200</v>
      </c>
      <c r="K6" s="5" t="n">
        <v>0</v>
      </c>
      <c r="L6" s="5" t="s">
        <v>49</v>
      </c>
      <c r="M6" s="5"/>
      <c r="N6" s="5" t="s">
        <v>57</v>
      </c>
      <c r="O6" s="5"/>
      <c r="P6" s="7" t="n">
        <f aca="false">I6*J6*(1-K6)</f>
        <v>1200</v>
      </c>
      <c r="Q6" s="7" t="n">
        <f aca="false">INDEX(商品マスタ!$D:$D,MATCH(H6,商品マスタ!$A:$A,0))</f>
        <v>520</v>
      </c>
      <c r="R6" s="7" t="n">
        <f aca="false">P6-I6*Q6</f>
        <v>680</v>
      </c>
    </row>
    <row r="7" customFormat="false" ht="15" hidden="false" customHeight="true" outlineLevel="0" collapsed="false">
      <c r="A7" s="14" t="s">
        <v>72</v>
      </c>
      <c r="B7" s="15" t="n">
        <v>46034</v>
      </c>
      <c r="C7" s="5" t="s">
        <v>59</v>
      </c>
      <c r="D7" s="14" t="s">
        <v>70</v>
      </c>
      <c r="E7" s="5" t="s">
        <v>73</v>
      </c>
      <c r="F7" s="5" t="s">
        <v>61</v>
      </c>
      <c r="G7" s="5" t="s">
        <v>47</v>
      </c>
      <c r="H7" s="5" t="s">
        <v>74</v>
      </c>
      <c r="I7" s="5" t="n">
        <v>4</v>
      </c>
      <c r="J7" s="5" t="n">
        <v>880</v>
      </c>
      <c r="K7" s="5" t="n">
        <v>0</v>
      </c>
      <c r="L7" s="14" t="s">
        <v>75</v>
      </c>
      <c r="M7" s="5"/>
      <c r="N7" s="5" t="s">
        <v>57</v>
      </c>
      <c r="O7" s="5"/>
      <c r="P7" s="7" t="n">
        <f aca="false">I7*J7*(1-K7)</f>
        <v>3520</v>
      </c>
      <c r="Q7" s="7" t="n">
        <f aca="false">INDEX(商品マスタ!$D:$D,MATCH(H7,商品マスタ!$A:$A,0))</f>
        <v>360</v>
      </c>
      <c r="R7" s="7" t="n">
        <f aca="false">P7-I7*Q7</f>
        <v>2080</v>
      </c>
    </row>
    <row r="8" customFormat="false" ht="15" hidden="false" customHeight="true" outlineLevel="0" collapsed="false">
      <c r="A8" s="14" t="s">
        <v>76</v>
      </c>
      <c r="B8" s="15" t="n">
        <v>46028</v>
      </c>
      <c r="C8" s="5" t="s">
        <v>77</v>
      </c>
      <c r="D8" s="5" t="s">
        <v>44</v>
      </c>
      <c r="E8" s="5" t="s">
        <v>78</v>
      </c>
      <c r="F8" s="5" t="s">
        <v>79</v>
      </c>
      <c r="G8" s="5" t="s">
        <v>62</v>
      </c>
      <c r="H8" s="5" t="s">
        <v>80</v>
      </c>
      <c r="I8" s="5" t="n">
        <v>3</v>
      </c>
      <c r="J8" s="5" t="n">
        <v>2800</v>
      </c>
      <c r="K8" s="5" t="n">
        <v>0</v>
      </c>
      <c r="L8" s="5" t="s">
        <v>81</v>
      </c>
      <c r="M8" s="5"/>
      <c r="N8" s="5" t="s">
        <v>57</v>
      </c>
      <c r="O8" s="5"/>
      <c r="P8" s="7" t="n">
        <f aca="false">I8*J8*(1-K8)</f>
        <v>8400</v>
      </c>
      <c r="Q8" s="7" t="n">
        <f aca="false">INDEX(商品マスタ!$D:$D,MATCH(H8,商品マスタ!$A:$A,0))</f>
        <v>1400</v>
      </c>
      <c r="R8" s="7" t="n">
        <f aca="false">P8-I8*Q8</f>
        <v>4200</v>
      </c>
    </row>
    <row r="9" customFormat="false" ht="15" hidden="false" customHeight="true" outlineLevel="0" collapsed="false">
      <c r="A9" s="14" t="s">
        <v>82</v>
      </c>
      <c r="B9" s="15" t="n">
        <v>46035</v>
      </c>
      <c r="C9" s="5" t="s">
        <v>83</v>
      </c>
      <c r="D9" s="5" t="s">
        <v>44</v>
      </c>
      <c r="E9" s="5" t="s">
        <v>84</v>
      </c>
      <c r="F9" s="5" t="s">
        <v>61</v>
      </c>
      <c r="G9" s="5" t="s">
        <v>62</v>
      </c>
      <c r="H9" s="5" t="s">
        <v>85</v>
      </c>
      <c r="I9" s="5" t="n">
        <v>3</v>
      </c>
      <c r="J9" s="5" t="n">
        <v>3200</v>
      </c>
      <c r="K9" s="5" t="n">
        <v>0</v>
      </c>
      <c r="L9" s="5" t="s">
        <v>64</v>
      </c>
      <c r="M9" s="5"/>
      <c r="N9" s="5" t="s">
        <v>57</v>
      </c>
      <c r="O9" s="5"/>
      <c r="P9" s="7" t="n">
        <f aca="false">I9*J9*(1-K9)</f>
        <v>9600</v>
      </c>
      <c r="Q9" s="7" t="n">
        <f aca="false">INDEX(商品マスタ!$D:$D,MATCH(H9,商品マスタ!$A:$A,0))</f>
        <v>1600</v>
      </c>
      <c r="R9" s="7" t="n">
        <f aca="false">P9-I9*Q9</f>
        <v>4800</v>
      </c>
    </row>
    <row r="10" customFormat="false" ht="15" hidden="false" customHeight="true" outlineLevel="0" collapsed="false">
      <c r="A10" s="14" t="s">
        <v>86</v>
      </c>
      <c r="B10" s="15" t="n">
        <v>46045</v>
      </c>
      <c r="C10" s="5" t="s">
        <v>59</v>
      </c>
      <c r="D10" s="5" t="s">
        <v>44</v>
      </c>
      <c r="E10" s="5" t="s">
        <v>87</v>
      </c>
      <c r="F10" s="5" t="s">
        <v>79</v>
      </c>
      <c r="G10" s="5" t="s">
        <v>67</v>
      </c>
      <c r="H10" s="5" t="s">
        <v>88</v>
      </c>
      <c r="I10" s="5" t="n">
        <v>1</v>
      </c>
      <c r="J10" s="5" t="n">
        <v>2600</v>
      </c>
      <c r="K10" s="5" t="n">
        <v>0</v>
      </c>
      <c r="L10" s="5" t="s">
        <v>56</v>
      </c>
      <c r="M10" s="5"/>
      <c r="N10" s="5" t="s">
        <v>57</v>
      </c>
      <c r="O10" s="5"/>
      <c r="P10" s="7" t="n">
        <f aca="false">I10*J10*(1-K10)</f>
        <v>2600</v>
      </c>
      <c r="Q10" s="7" t="n">
        <f aca="false">INDEX(商品マスタ!$D:$D,MATCH(H10,商品マスタ!$A:$A,0))</f>
        <v>1150</v>
      </c>
      <c r="R10" s="7" t="n">
        <f aca="false">P10-I10*Q10</f>
        <v>1450</v>
      </c>
    </row>
    <row r="11" customFormat="false" ht="15" hidden="false" customHeight="true" outlineLevel="0" collapsed="false">
      <c r="A11" s="14" t="s">
        <v>89</v>
      </c>
      <c r="B11" s="15" t="n">
        <v>46051</v>
      </c>
      <c r="C11" s="5" t="s">
        <v>43</v>
      </c>
      <c r="D11" s="5" t="s">
        <v>44</v>
      </c>
      <c r="E11" s="5" t="s">
        <v>90</v>
      </c>
      <c r="F11" s="5" t="s">
        <v>61</v>
      </c>
      <c r="G11" s="5" t="s">
        <v>47</v>
      </c>
      <c r="H11" s="5" t="s">
        <v>48</v>
      </c>
      <c r="I11" s="5" t="n">
        <v>3</v>
      </c>
      <c r="J11" s="5" t="n">
        <v>980</v>
      </c>
      <c r="K11" s="5" t="n">
        <v>0</v>
      </c>
      <c r="L11" s="5" t="s">
        <v>49</v>
      </c>
      <c r="M11" s="5"/>
      <c r="N11" s="5" t="s">
        <v>57</v>
      </c>
      <c r="O11" s="5"/>
      <c r="P11" s="7" t="n">
        <f aca="false">I11*J11*(1-K11)</f>
        <v>2940</v>
      </c>
      <c r="Q11" s="7" t="n">
        <f aca="false">INDEX(商品マスタ!$D:$D,MATCH(H11,商品マスタ!$A:$A,0))</f>
        <v>420</v>
      </c>
      <c r="R11" s="7" t="n">
        <f aca="false">P11-I11*Q11</f>
        <v>1680</v>
      </c>
    </row>
    <row r="12" customFormat="false" ht="15" hidden="false" customHeight="true" outlineLevel="0" collapsed="false">
      <c r="A12" s="14" t="s">
        <v>91</v>
      </c>
      <c r="B12" s="15" t="n">
        <v>46034</v>
      </c>
      <c r="C12" s="5" t="s">
        <v>53</v>
      </c>
      <c r="D12" s="5" t="s">
        <v>44</v>
      </c>
      <c r="E12" s="5" t="s">
        <v>92</v>
      </c>
      <c r="F12" s="5" t="s">
        <v>61</v>
      </c>
      <c r="G12" s="5" t="s">
        <v>62</v>
      </c>
      <c r="H12" s="5" t="s">
        <v>93</v>
      </c>
      <c r="I12" s="5" t="n">
        <v>1</v>
      </c>
      <c r="J12" s="5" t="n">
        <v>9800</v>
      </c>
      <c r="K12" s="5" t="n">
        <v>0</v>
      </c>
      <c r="L12" s="5" t="s">
        <v>49</v>
      </c>
      <c r="M12" s="5"/>
      <c r="N12" s="5" t="s">
        <v>57</v>
      </c>
      <c r="O12" s="5"/>
      <c r="P12" s="7" t="n">
        <f aca="false">I12*J12*(1-K12)</f>
        <v>9800</v>
      </c>
      <c r="Q12" s="7" t="n">
        <f aca="false">INDEX(商品マスタ!$D:$D,MATCH(H12,商品マスタ!$A:$A,0))</f>
        <v>5400</v>
      </c>
      <c r="R12" s="7" t="n">
        <f aca="false">P12-I12*Q12</f>
        <v>4400</v>
      </c>
    </row>
    <row r="13" customFormat="false" ht="15" hidden="false" customHeight="true" outlineLevel="0" collapsed="false">
      <c r="A13" s="14" t="s">
        <v>94</v>
      </c>
      <c r="B13" s="15" t="n">
        <v>46035</v>
      </c>
      <c r="C13" s="5" t="s">
        <v>43</v>
      </c>
      <c r="D13" s="5" t="s">
        <v>44</v>
      </c>
      <c r="E13" s="5" t="s">
        <v>95</v>
      </c>
      <c r="F13" s="5" t="s">
        <v>61</v>
      </c>
      <c r="G13" s="5" t="s">
        <v>67</v>
      </c>
      <c r="H13" s="5" t="s">
        <v>88</v>
      </c>
      <c r="I13" s="5" t="n">
        <v>2</v>
      </c>
      <c r="J13" s="5" t="n">
        <v>2600</v>
      </c>
      <c r="K13" s="5" t="n">
        <v>0</v>
      </c>
      <c r="L13" s="14" t="s">
        <v>75</v>
      </c>
      <c r="M13" s="5"/>
      <c r="N13" s="5" t="s">
        <v>57</v>
      </c>
      <c r="O13" s="5"/>
      <c r="P13" s="7" t="n">
        <f aca="false">I13*J13*(1-K13)</f>
        <v>5200</v>
      </c>
      <c r="Q13" s="7" t="n">
        <f aca="false">INDEX(商品マスタ!$D:$D,MATCH(H13,商品マスタ!$A:$A,0))</f>
        <v>1150</v>
      </c>
      <c r="R13" s="7" t="n">
        <f aca="false">P13-I13*Q13</f>
        <v>2900</v>
      </c>
    </row>
    <row r="14" customFormat="false" ht="15" hidden="false" customHeight="true" outlineLevel="0" collapsed="false">
      <c r="A14" s="14" t="s">
        <v>96</v>
      </c>
      <c r="B14" s="15" t="n">
        <v>46048</v>
      </c>
      <c r="C14" s="5" t="s">
        <v>59</v>
      </c>
      <c r="D14" s="14" t="s">
        <v>70</v>
      </c>
      <c r="E14" s="5" t="s">
        <v>97</v>
      </c>
      <c r="F14" s="5" t="s">
        <v>79</v>
      </c>
      <c r="G14" s="5" t="s">
        <v>62</v>
      </c>
      <c r="H14" s="5" t="s">
        <v>85</v>
      </c>
      <c r="I14" s="5" t="n">
        <v>4</v>
      </c>
      <c r="J14" s="5" t="n">
        <v>3200</v>
      </c>
      <c r="K14" s="5" t="n">
        <v>0</v>
      </c>
      <c r="L14" s="14" t="s">
        <v>75</v>
      </c>
      <c r="M14" s="5"/>
      <c r="N14" s="5" t="s">
        <v>57</v>
      </c>
      <c r="O14" s="5"/>
      <c r="P14" s="7" t="n">
        <f aca="false">I14*J14*(1-K14)</f>
        <v>12800</v>
      </c>
      <c r="Q14" s="7" t="n">
        <f aca="false">INDEX(商品マスタ!$D:$D,MATCH(H14,商品マスタ!$A:$A,0))</f>
        <v>1600</v>
      </c>
      <c r="R14" s="7" t="n">
        <f aca="false">P14-I14*Q14</f>
        <v>6400</v>
      </c>
    </row>
    <row r="15" customFormat="false" ht="15" hidden="false" customHeight="true" outlineLevel="0" collapsed="false">
      <c r="A15" s="14" t="s">
        <v>98</v>
      </c>
      <c r="B15" s="15" t="n">
        <v>46050</v>
      </c>
      <c r="C15" s="5" t="s">
        <v>77</v>
      </c>
      <c r="D15" s="5" t="s">
        <v>44</v>
      </c>
      <c r="E15" s="5" t="s">
        <v>99</v>
      </c>
      <c r="F15" s="5" t="s">
        <v>61</v>
      </c>
      <c r="G15" s="5" t="s">
        <v>47</v>
      </c>
      <c r="H15" s="5" t="s">
        <v>55</v>
      </c>
      <c r="I15" s="5" t="n">
        <v>1</v>
      </c>
      <c r="J15" s="5" t="n">
        <v>1500</v>
      </c>
      <c r="K15" s="5" t="n">
        <v>0.05</v>
      </c>
      <c r="L15" s="5" t="s">
        <v>49</v>
      </c>
      <c r="M15" s="5"/>
      <c r="N15" s="5" t="s">
        <v>57</v>
      </c>
      <c r="O15" s="5"/>
      <c r="P15" s="7" t="n">
        <f aca="false">I15*J15*(1-K15)</f>
        <v>1425</v>
      </c>
      <c r="Q15" s="7" t="n">
        <f aca="false">INDEX(商品マスタ!$D:$D,MATCH(H15,商品マスタ!$A:$A,0))</f>
        <v>680</v>
      </c>
      <c r="R15" s="7" t="n">
        <f aca="false">P15-I15*Q15</f>
        <v>745</v>
      </c>
    </row>
    <row r="16" customFormat="false" ht="15" hidden="false" customHeight="true" outlineLevel="0" collapsed="false">
      <c r="A16" s="14" t="s">
        <v>100</v>
      </c>
      <c r="B16" s="15" t="n">
        <v>46034</v>
      </c>
      <c r="C16" s="5" t="s">
        <v>53</v>
      </c>
      <c r="D16" s="5" t="s">
        <v>44</v>
      </c>
      <c r="E16" s="5" t="s">
        <v>101</v>
      </c>
      <c r="F16" s="5"/>
      <c r="G16" s="5" t="s">
        <v>67</v>
      </c>
      <c r="H16" s="5" t="s">
        <v>88</v>
      </c>
      <c r="I16" s="5" t="n">
        <v>2</v>
      </c>
      <c r="J16" s="5" t="n">
        <v>2600</v>
      </c>
      <c r="K16" s="5" t="n">
        <v>0</v>
      </c>
      <c r="L16" s="5" t="s">
        <v>81</v>
      </c>
      <c r="M16" s="5"/>
      <c r="N16" s="5" t="s">
        <v>57</v>
      </c>
      <c r="O16" s="5"/>
      <c r="P16" s="7" t="n">
        <f aca="false">I16*J16*(1-K16)</f>
        <v>5200</v>
      </c>
      <c r="Q16" s="7" t="n">
        <f aca="false">INDEX(商品マスタ!$D:$D,MATCH(H16,商品マスタ!$A:$A,0))</f>
        <v>1150</v>
      </c>
      <c r="R16" s="7" t="n">
        <f aca="false">P16-I16*Q16</f>
        <v>2900</v>
      </c>
    </row>
    <row r="17" customFormat="false" ht="15" hidden="false" customHeight="true" outlineLevel="0" collapsed="false">
      <c r="A17" s="14" t="s">
        <v>102</v>
      </c>
      <c r="B17" s="15" t="n">
        <v>46024</v>
      </c>
      <c r="C17" s="5" t="s">
        <v>43</v>
      </c>
      <c r="D17" s="5" t="s">
        <v>44</v>
      </c>
      <c r="E17" s="5" t="s">
        <v>103</v>
      </c>
      <c r="F17" s="5"/>
      <c r="G17" s="5" t="s">
        <v>67</v>
      </c>
      <c r="H17" s="5" t="s">
        <v>88</v>
      </c>
      <c r="I17" s="5" t="n">
        <v>2</v>
      </c>
      <c r="J17" s="5" t="n">
        <v>2600</v>
      </c>
      <c r="K17" s="5" t="n">
        <v>0</v>
      </c>
      <c r="L17" s="5" t="s">
        <v>49</v>
      </c>
      <c r="M17" s="5"/>
      <c r="N17" s="5" t="s">
        <v>57</v>
      </c>
      <c r="O17" s="5"/>
      <c r="P17" s="7" t="n">
        <f aca="false">I17*J17*(1-K17)</f>
        <v>5200</v>
      </c>
      <c r="Q17" s="7" t="n">
        <f aca="false">INDEX(商品マスタ!$D:$D,MATCH(H17,商品マスタ!$A:$A,0))</f>
        <v>1150</v>
      </c>
      <c r="R17" s="7" t="n">
        <f aca="false">P17-I17*Q17</f>
        <v>2900</v>
      </c>
    </row>
    <row r="18" customFormat="false" ht="15" hidden="false" customHeight="true" outlineLevel="0" collapsed="false">
      <c r="A18" s="14" t="s">
        <v>104</v>
      </c>
      <c r="B18" s="15" t="n">
        <v>46033</v>
      </c>
      <c r="C18" s="5" t="s">
        <v>83</v>
      </c>
      <c r="D18" s="5" t="s">
        <v>44</v>
      </c>
      <c r="E18" s="5" t="s">
        <v>105</v>
      </c>
      <c r="F18" s="5" t="s">
        <v>61</v>
      </c>
      <c r="G18" s="5" t="s">
        <v>67</v>
      </c>
      <c r="H18" s="5" t="s">
        <v>106</v>
      </c>
      <c r="I18" s="5" t="n">
        <v>3</v>
      </c>
      <c r="J18" s="5" t="n">
        <v>1400</v>
      </c>
      <c r="K18" s="5" t="n">
        <v>0</v>
      </c>
      <c r="L18" s="5" t="s">
        <v>56</v>
      </c>
      <c r="M18" s="5"/>
      <c r="N18" s="5" t="s">
        <v>57</v>
      </c>
      <c r="O18" s="5"/>
      <c r="P18" s="7" t="n">
        <f aca="false">I18*J18*(1-K18)</f>
        <v>4200</v>
      </c>
      <c r="Q18" s="7" t="n">
        <f aca="false">INDEX(商品マスタ!$D:$D,MATCH(H18,商品マスタ!$A:$A,0))</f>
        <v>610</v>
      </c>
      <c r="R18" s="7" t="n">
        <f aca="false">P18-I18*Q18</f>
        <v>2370</v>
      </c>
    </row>
    <row r="19" customFormat="false" ht="15" hidden="false" customHeight="true" outlineLevel="0" collapsed="false">
      <c r="A19" s="14" t="s">
        <v>107</v>
      </c>
      <c r="B19" s="15" t="n">
        <v>46024</v>
      </c>
      <c r="C19" s="5" t="s">
        <v>59</v>
      </c>
      <c r="D19" s="5" t="s">
        <v>44</v>
      </c>
      <c r="E19" s="14" t="s">
        <v>54</v>
      </c>
      <c r="F19" s="5" t="s">
        <v>46</v>
      </c>
      <c r="G19" s="5" t="s">
        <v>47</v>
      </c>
      <c r="H19" s="5" t="s">
        <v>74</v>
      </c>
      <c r="I19" s="5" t="n">
        <v>20</v>
      </c>
      <c r="J19" s="5" t="n">
        <v>880</v>
      </c>
      <c r="K19" s="5" t="n">
        <v>0</v>
      </c>
      <c r="L19" s="14" t="s">
        <v>75</v>
      </c>
      <c r="M19" s="5"/>
      <c r="N19" s="5" t="s">
        <v>57</v>
      </c>
      <c r="O19" s="5"/>
      <c r="P19" s="7" t="n">
        <f aca="false">I19*J19*(1-K19)</f>
        <v>17600</v>
      </c>
      <c r="Q19" s="7" t="n">
        <f aca="false">INDEX(商品マスタ!$D:$D,MATCH(H19,商品マスタ!$A:$A,0))</f>
        <v>360</v>
      </c>
      <c r="R19" s="7" t="n">
        <f aca="false">P19-I19*Q19</f>
        <v>10400</v>
      </c>
    </row>
    <row r="20" customFormat="false" ht="15" hidden="false" customHeight="true" outlineLevel="0" collapsed="false">
      <c r="A20" s="14" t="s">
        <v>108</v>
      </c>
      <c r="B20" s="15" t="n">
        <v>46040</v>
      </c>
      <c r="C20" s="5" t="s">
        <v>53</v>
      </c>
      <c r="D20" s="5" t="s">
        <v>44</v>
      </c>
      <c r="E20" s="5" t="s">
        <v>109</v>
      </c>
      <c r="F20" s="5" t="s">
        <v>61</v>
      </c>
      <c r="G20" s="5" t="s">
        <v>47</v>
      </c>
      <c r="H20" s="5" t="s">
        <v>48</v>
      </c>
      <c r="I20" s="5" t="n">
        <v>1</v>
      </c>
      <c r="J20" s="5" t="n">
        <v>980</v>
      </c>
      <c r="K20" s="5" t="n">
        <v>0</v>
      </c>
      <c r="L20" s="5" t="s">
        <v>49</v>
      </c>
      <c r="M20" s="5"/>
      <c r="N20" s="5" t="s">
        <v>57</v>
      </c>
      <c r="O20" s="5"/>
      <c r="P20" s="7" t="n">
        <f aca="false">I20*J20*(1-K20)</f>
        <v>980</v>
      </c>
      <c r="Q20" s="7" t="n">
        <f aca="false">INDEX(商品マスタ!$D:$D,MATCH(H20,商品マスタ!$A:$A,0))</f>
        <v>420</v>
      </c>
      <c r="R20" s="7" t="n">
        <f aca="false">P20-I20*Q20</f>
        <v>560</v>
      </c>
    </row>
    <row r="21" customFormat="false" ht="15" hidden="false" customHeight="true" outlineLevel="0" collapsed="false">
      <c r="A21" s="14" t="s">
        <v>110</v>
      </c>
      <c r="B21" s="15" t="n">
        <v>46024</v>
      </c>
      <c r="C21" s="5" t="s">
        <v>59</v>
      </c>
      <c r="D21" s="5" t="s">
        <v>44</v>
      </c>
      <c r="E21" s="5" t="s">
        <v>111</v>
      </c>
      <c r="F21" s="5" t="s">
        <v>79</v>
      </c>
      <c r="G21" s="5" t="s">
        <v>62</v>
      </c>
      <c r="H21" s="5" t="s">
        <v>85</v>
      </c>
      <c r="I21" s="5" t="n">
        <v>1</v>
      </c>
      <c r="J21" s="5" t="n">
        <v>3200</v>
      </c>
      <c r="K21" s="5" t="n">
        <v>0.05</v>
      </c>
      <c r="L21" s="5" t="s">
        <v>49</v>
      </c>
      <c r="M21" s="5"/>
      <c r="N21" s="5" t="s">
        <v>57</v>
      </c>
      <c r="O21" s="5"/>
      <c r="P21" s="7" t="n">
        <f aca="false">I21*J21*(1-K21)</f>
        <v>3040</v>
      </c>
      <c r="Q21" s="7" t="n">
        <f aca="false">INDEX(商品マスタ!$D:$D,MATCH(H21,商品マスタ!$A:$A,0))</f>
        <v>1600</v>
      </c>
      <c r="R21" s="7" t="n">
        <f aca="false">P21-I21*Q21</f>
        <v>1440</v>
      </c>
    </row>
    <row r="22" customFormat="false" ht="15" hidden="false" customHeight="true" outlineLevel="0" collapsed="false">
      <c r="A22" s="14" t="s">
        <v>112</v>
      </c>
      <c r="B22" s="15" t="n">
        <v>46042</v>
      </c>
      <c r="C22" s="5" t="s">
        <v>53</v>
      </c>
      <c r="D22" s="5" t="s">
        <v>44</v>
      </c>
      <c r="E22" s="5" t="s">
        <v>113</v>
      </c>
      <c r="F22" s="5" t="s">
        <v>79</v>
      </c>
      <c r="G22" s="5" t="s">
        <v>62</v>
      </c>
      <c r="H22" s="5" t="s">
        <v>93</v>
      </c>
      <c r="I22" s="5" t="n">
        <v>2</v>
      </c>
      <c r="J22" s="5" t="n">
        <v>9800</v>
      </c>
      <c r="K22" s="5" t="n">
        <v>0.05</v>
      </c>
      <c r="L22" s="5" t="s">
        <v>49</v>
      </c>
      <c r="M22" s="5"/>
      <c r="N22" s="5" t="s">
        <v>57</v>
      </c>
      <c r="O22" s="5"/>
      <c r="P22" s="7" t="n">
        <f aca="false">I22*J22*(1-K22)</f>
        <v>18620</v>
      </c>
      <c r="Q22" s="7" t="n">
        <f aca="false">INDEX(商品マスタ!$D:$D,MATCH(H22,商品マスタ!$A:$A,0))</f>
        <v>5400</v>
      </c>
      <c r="R22" s="7" t="n">
        <f aca="false">P22-I22*Q22</f>
        <v>7820</v>
      </c>
    </row>
    <row r="23" customFormat="false" ht="15" hidden="false" customHeight="true" outlineLevel="0" collapsed="false">
      <c r="A23" s="14" t="s">
        <v>114</v>
      </c>
      <c r="B23" s="15" t="n">
        <v>46031</v>
      </c>
      <c r="C23" s="5" t="s">
        <v>53</v>
      </c>
      <c r="D23" s="14" t="s">
        <v>70</v>
      </c>
      <c r="E23" s="5" t="s">
        <v>115</v>
      </c>
      <c r="F23" s="5" t="s">
        <v>79</v>
      </c>
      <c r="G23" s="5" t="s">
        <v>116</v>
      </c>
      <c r="H23" s="5" t="s">
        <v>117</v>
      </c>
      <c r="I23" s="5" t="n">
        <v>2</v>
      </c>
      <c r="J23" s="5" t="n">
        <v>1800</v>
      </c>
      <c r="K23" s="5" t="n">
        <v>0</v>
      </c>
      <c r="L23" s="5" t="s">
        <v>56</v>
      </c>
      <c r="M23" s="5"/>
      <c r="N23" s="5" t="s">
        <v>57</v>
      </c>
      <c r="O23" s="5"/>
      <c r="P23" s="7" t="n">
        <f aca="false">I23*J23*(1-K23)</f>
        <v>3600</v>
      </c>
      <c r="Q23" s="7" t="n">
        <f aca="false">INDEX(商品マスタ!$D:$D,MATCH(H23,商品マスタ!$A:$A,0))</f>
        <v>760</v>
      </c>
      <c r="R23" s="7" t="n">
        <f aca="false">P23-I23*Q23</f>
        <v>2080</v>
      </c>
    </row>
    <row r="24" customFormat="false" ht="15" hidden="false" customHeight="true" outlineLevel="0" collapsed="false">
      <c r="A24" s="14" t="s">
        <v>118</v>
      </c>
      <c r="B24" s="15" t="n">
        <v>46038</v>
      </c>
      <c r="C24" s="5" t="s">
        <v>59</v>
      </c>
      <c r="D24" s="14" t="s">
        <v>70</v>
      </c>
      <c r="E24" s="5" t="s">
        <v>119</v>
      </c>
      <c r="F24" s="5"/>
      <c r="G24" s="5" t="s">
        <v>116</v>
      </c>
      <c r="H24" s="5" t="s">
        <v>120</v>
      </c>
      <c r="I24" s="5" t="n">
        <v>3</v>
      </c>
      <c r="J24" s="5" t="n">
        <v>3800</v>
      </c>
      <c r="K24" s="5" t="n">
        <v>0.05</v>
      </c>
      <c r="L24" s="14" t="s">
        <v>75</v>
      </c>
      <c r="M24" s="5"/>
      <c r="N24" s="5" t="s">
        <v>57</v>
      </c>
      <c r="O24" s="5"/>
      <c r="P24" s="7" t="n">
        <f aca="false">I24*J24*(1-K24)</f>
        <v>10830</v>
      </c>
      <c r="Q24" s="7" t="n">
        <f aca="false">INDEX(商品マスタ!$D:$D,MATCH(H24,商品マスタ!$A:$A,0))</f>
        <v>1900</v>
      </c>
      <c r="R24" s="7" t="n">
        <f aca="false">P24-I24*Q24</f>
        <v>5130</v>
      </c>
    </row>
    <row r="25" customFormat="false" ht="15" hidden="false" customHeight="true" outlineLevel="0" collapsed="false">
      <c r="A25" s="14" t="s">
        <v>121</v>
      </c>
      <c r="B25" s="15" t="n">
        <v>46052</v>
      </c>
      <c r="C25" s="5" t="s">
        <v>43</v>
      </c>
      <c r="D25" s="5" t="s">
        <v>44</v>
      </c>
      <c r="E25" s="5" t="s">
        <v>122</v>
      </c>
      <c r="F25" s="5" t="s">
        <v>79</v>
      </c>
      <c r="G25" s="5" t="s">
        <v>116</v>
      </c>
      <c r="H25" s="5" t="s">
        <v>120</v>
      </c>
      <c r="I25" s="5" t="n">
        <v>1</v>
      </c>
      <c r="J25" s="5" t="n">
        <v>3800</v>
      </c>
      <c r="K25" s="5" t="n">
        <v>0.1</v>
      </c>
      <c r="L25" s="14" t="s">
        <v>75</v>
      </c>
      <c r="M25" s="5"/>
      <c r="N25" s="5" t="s">
        <v>57</v>
      </c>
      <c r="O25" s="5"/>
      <c r="P25" s="7" t="n">
        <f aca="false">I25*J25*(1-K25)</f>
        <v>3420</v>
      </c>
      <c r="Q25" s="7" t="n">
        <f aca="false">INDEX(商品マスタ!$D:$D,MATCH(H25,商品マスタ!$A:$A,0))</f>
        <v>1900</v>
      </c>
      <c r="R25" s="7" t="n">
        <f aca="false">P25-I25*Q25</f>
        <v>1520</v>
      </c>
    </row>
    <row r="26" customFormat="false" ht="15" hidden="false" customHeight="true" outlineLevel="0" collapsed="false">
      <c r="A26" s="14" t="s">
        <v>123</v>
      </c>
      <c r="B26" s="15" t="n">
        <v>46032</v>
      </c>
      <c r="C26" s="5" t="s">
        <v>53</v>
      </c>
      <c r="D26" s="5" t="s">
        <v>44</v>
      </c>
      <c r="E26" s="5" t="s">
        <v>124</v>
      </c>
      <c r="F26" s="5" t="s">
        <v>79</v>
      </c>
      <c r="G26" s="5" t="s">
        <v>47</v>
      </c>
      <c r="H26" s="5" t="s">
        <v>48</v>
      </c>
      <c r="I26" s="5" t="n">
        <v>2</v>
      </c>
      <c r="J26" s="5" t="n">
        <v>980</v>
      </c>
      <c r="K26" s="5" t="n">
        <v>0.05</v>
      </c>
      <c r="L26" s="14" t="s">
        <v>125</v>
      </c>
      <c r="M26" s="5"/>
      <c r="N26" s="5" t="s">
        <v>57</v>
      </c>
      <c r="O26" s="5"/>
      <c r="P26" s="7" t="n">
        <f aca="false">I26*J26*(1-K26)</f>
        <v>1862</v>
      </c>
      <c r="Q26" s="7" t="n">
        <f aca="false">INDEX(商品マスタ!$D:$D,MATCH(H26,商品マスタ!$A:$A,0))</f>
        <v>420</v>
      </c>
      <c r="R26" s="7" t="n">
        <f aca="false">P26-I26*Q26</f>
        <v>1022</v>
      </c>
    </row>
    <row r="27" customFormat="false" ht="15" hidden="false" customHeight="true" outlineLevel="0" collapsed="false">
      <c r="A27" s="14" t="s">
        <v>126</v>
      </c>
      <c r="B27" s="15" t="n">
        <v>46042</v>
      </c>
      <c r="C27" s="5" t="s">
        <v>59</v>
      </c>
      <c r="D27" s="14" t="s">
        <v>70</v>
      </c>
      <c r="E27" s="5" t="s">
        <v>127</v>
      </c>
      <c r="F27" s="5" t="s">
        <v>61</v>
      </c>
      <c r="G27" s="5" t="s">
        <v>62</v>
      </c>
      <c r="H27" s="5" t="s">
        <v>80</v>
      </c>
      <c r="I27" s="5" t="n">
        <v>4</v>
      </c>
      <c r="J27" s="5" t="n">
        <v>2800</v>
      </c>
      <c r="K27" s="5" t="n">
        <v>0</v>
      </c>
      <c r="L27" s="5" t="s">
        <v>56</v>
      </c>
      <c r="M27" s="5"/>
      <c r="N27" s="5" t="s">
        <v>57</v>
      </c>
      <c r="O27" s="5"/>
      <c r="P27" s="7" t="n">
        <f aca="false">I27*J27*(1-K27)</f>
        <v>11200</v>
      </c>
      <c r="Q27" s="7" t="n">
        <f aca="false">INDEX(商品マスタ!$D:$D,MATCH(H27,商品マスタ!$A:$A,0))</f>
        <v>1400</v>
      </c>
      <c r="R27" s="7" t="n">
        <f aca="false">P27-I27*Q27</f>
        <v>5600</v>
      </c>
    </row>
    <row r="28" customFormat="false" ht="15" hidden="false" customHeight="true" outlineLevel="0" collapsed="false">
      <c r="A28" s="14" t="s">
        <v>128</v>
      </c>
      <c r="B28" s="15" t="n">
        <v>46041</v>
      </c>
      <c r="C28" s="5" t="s">
        <v>43</v>
      </c>
      <c r="D28" s="14" t="s">
        <v>70</v>
      </c>
      <c r="E28" s="5" t="s">
        <v>129</v>
      </c>
      <c r="F28" s="5" t="s">
        <v>61</v>
      </c>
      <c r="G28" s="5" t="s">
        <v>47</v>
      </c>
      <c r="H28" s="5" t="s">
        <v>48</v>
      </c>
      <c r="I28" s="5" t="n">
        <v>4</v>
      </c>
      <c r="J28" s="5" t="n">
        <v>980</v>
      </c>
      <c r="K28" s="5" t="n">
        <v>0.05</v>
      </c>
      <c r="L28" s="14" t="s">
        <v>125</v>
      </c>
      <c r="M28" s="5"/>
      <c r="N28" s="5" t="s">
        <v>57</v>
      </c>
      <c r="O28" s="5"/>
      <c r="P28" s="7" t="n">
        <f aca="false">I28*J28*(1-K28)</f>
        <v>3724</v>
      </c>
      <c r="Q28" s="7" t="n">
        <f aca="false">INDEX(商品マスタ!$D:$D,MATCH(H28,商品マスタ!$A:$A,0))</f>
        <v>420</v>
      </c>
      <c r="R28" s="7" t="n">
        <f aca="false">P28-I28*Q28</f>
        <v>2044</v>
      </c>
    </row>
    <row r="29" customFormat="false" ht="15" hidden="false" customHeight="true" outlineLevel="0" collapsed="false">
      <c r="A29" s="14" t="s">
        <v>130</v>
      </c>
      <c r="B29" s="15" t="n">
        <v>46053</v>
      </c>
      <c r="C29" s="5" t="s">
        <v>43</v>
      </c>
      <c r="D29" s="5" t="s">
        <v>44</v>
      </c>
      <c r="E29" s="5" t="s">
        <v>131</v>
      </c>
      <c r="F29" s="5" t="s">
        <v>61</v>
      </c>
      <c r="G29" s="5" t="s">
        <v>62</v>
      </c>
      <c r="H29" s="5" t="s">
        <v>80</v>
      </c>
      <c r="I29" s="5" t="n">
        <v>1</v>
      </c>
      <c r="J29" s="5" t="n">
        <v>2800</v>
      </c>
      <c r="K29" s="5" t="n">
        <v>0</v>
      </c>
      <c r="L29" s="5" t="s">
        <v>49</v>
      </c>
      <c r="M29" s="5"/>
      <c r="N29" s="5" t="s">
        <v>57</v>
      </c>
      <c r="O29" s="5"/>
      <c r="P29" s="7" t="n">
        <f aca="false">I29*J29*(1-K29)</f>
        <v>2800</v>
      </c>
      <c r="Q29" s="7" t="n">
        <f aca="false">INDEX(商品マスタ!$D:$D,MATCH(H29,商品マスタ!$A:$A,0))</f>
        <v>1400</v>
      </c>
      <c r="R29" s="7" t="n">
        <f aca="false">P29-I29*Q29</f>
        <v>1400</v>
      </c>
    </row>
    <row r="30" customFormat="false" ht="15" hidden="false" customHeight="true" outlineLevel="0" collapsed="false">
      <c r="A30" s="14" t="s">
        <v>132</v>
      </c>
      <c r="B30" s="15" t="n">
        <v>46035</v>
      </c>
      <c r="C30" s="5" t="s">
        <v>83</v>
      </c>
      <c r="D30" s="5" t="s">
        <v>44</v>
      </c>
      <c r="E30" s="5" t="s">
        <v>133</v>
      </c>
      <c r="F30" s="5" t="s">
        <v>79</v>
      </c>
      <c r="G30" s="5" t="s">
        <v>47</v>
      </c>
      <c r="H30" s="5" t="s">
        <v>48</v>
      </c>
      <c r="I30" s="5" t="n">
        <v>1</v>
      </c>
      <c r="J30" s="5" t="n">
        <v>980</v>
      </c>
      <c r="K30" s="5" t="n">
        <v>0</v>
      </c>
      <c r="L30" s="14" t="s">
        <v>125</v>
      </c>
      <c r="M30" s="5"/>
      <c r="N30" s="5" t="s">
        <v>57</v>
      </c>
      <c r="O30" s="5"/>
      <c r="P30" s="7" t="n">
        <f aca="false">I30*J30*(1-K30)</f>
        <v>980</v>
      </c>
      <c r="Q30" s="7" t="n">
        <f aca="false">INDEX(商品マスタ!$D:$D,MATCH(H30,商品マスタ!$A:$A,0))</f>
        <v>420</v>
      </c>
      <c r="R30" s="7" t="n">
        <f aca="false">P30-I30*Q30</f>
        <v>560</v>
      </c>
    </row>
    <row r="31" customFormat="false" ht="15" hidden="false" customHeight="true" outlineLevel="0" collapsed="false">
      <c r="A31" s="14" t="s">
        <v>134</v>
      </c>
      <c r="B31" s="15" t="n">
        <v>46036</v>
      </c>
      <c r="C31" s="5" t="s">
        <v>77</v>
      </c>
      <c r="D31" s="14" t="s">
        <v>70</v>
      </c>
      <c r="E31" s="5" t="s">
        <v>135</v>
      </c>
      <c r="F31" s="5" t="s">
        <v>79</v>
      </c>
      <c r="G31" s="5" t="s">
        <v>62</v>
      </c>
      <c r="H31" s="5" t="s">
        <v>80</v>
      </c>
      <c r="I31" s="5" t="n">
        <v>2</v>
      </c>
      <c r="J31" s="5" t="n">
        <v>2800</v>
      </c>
      <c r="K31" s="5" t="n">
        <v>0</v>
      </c>
      <c r="L31" s="5" t="s">
        <v>81</v>
      </c>
      <c r="M31" s="5"/>
      <c r="N31" s="5" t="s">
        <v>57</v>
      </c>
      <c r="O31" s="5"/>
      <c r="P31" s="7" t="n">
        <f aca="false">I31*J31*(1-K31)</f>
        <v>5600</v>
      </c>
      <c r="Q31" s="7" t="n">
        <f aca="false">INDEX(商品マスタ!$D:$D,MATCH(H31,商品マスタ!$A:$A,0))</f>
        <v>1400</v>
      </c>
      <c r="R31" s="7" t="n">
        <f aca="false">P31-I31*Q31</f>
        <v>2800</v>
      </c>
    </row>
    <row r="32" customFormat="false" ht="15" hidden="false" customHeight="true" outlineLevel="0" collapsed="false">
      <c r="A32" s="14" t="s">
        <v>136</v>
      </c>
      <c r="B32" s="15" t="n">
        <v>46046</v>
      </c>
      <c r="C32" s="5" t="s">
        <v>77</v>
      </c>
      <c r="D32" s="14" t="s">
        <v>70</v>
      </c>
      <c r="E32" s="5" t="s">
        <v>137</v>
      </c>
      <c r="F32" s="5" t="s">
        <v>46</v>
      </c>
      <c r="G32" s="5" t="s">
        <v>62</v>
      </c>
      <c r="H32" s="5" t="s">
        <v>63</v>
      </c>
      <c r="I32" s="5" t="n">
        <v>5</v>
      </c>
      <c r="J32" s="5" t="n">
        <v>480</v>
      </c>
      <c r="K32" s="5" t="n">
        <v>0.1</v>
      </c>
      <c r="L32" s="5" t="s">
        <v>49</v>
      </c>
      <c r="M32" s="5"/>
      <c r="N32" s="5" t="s">
        <v>57</v>
      </c>
      <c r="O32" s="5"/>
      <c r="P32" s="7" t="n">
        <f aca="false">I32*J32*(1-K32)</f>
        <v>2160</v>
      </c>
      <c r="Q32" s="7" t="n">
        <f aca="false">INDEX(商品マスタ!$D:$D,MATCH(H32,商品マスタ!$A:$A,0))</f>
        <v>180</v>
      </c>
      <c r="R32" s="7" t="n">
        <f aca="false">P32-I32*Q32</f>
        <v>1260</v>
      </c>
    </row>
    <row r="33" customFormat="false" ht="15" hidden="false" customHeight="true" outlineLevel="0" collapsed="false">
      <c r="A33" s="14" t="s">
        <v>138</v>
      </c>
      <c r="B33" s="15" t="n">
        <v>46035</v>
      </c>
      <c r="C33" s="5" t="s">
        <v>53</v>
      </c>
      <c r="D33" s="5" t="s">
        <v>44</v>
      </c>
      <c r="E33" s="5" t="s">
        <v>139</v>
      </c>
      <c r="F33" s="5" t="s">
        <v>79</v>
      </c>
      <c r="G33" s="5" t="s">
        <v>47</v>
      </c>
      <c r="H33" s="5" t="s">
        <v>48</v>
      </c>
      <c r="I33" s="5" t="n">
        <v>4</v>
      </c>
      <c r="J33" s="5" t="n">
        <v>980</v>
      </c>
      <c r="K33" s="5" t="n">
        <v>0</v>
      </c>
      <c r="L33" s="5" t="s">
        <v>81</v>
      </c>
      <c r="M33" s="5"/>
      <c r="N33" s="5" t="s">
        <v>57</v>
      </c>
      <c r="O33" s="5"/>
      <c r="P33" s="7" t="n">
        <f aca="false">I33*J33*(1-K33)</f>
        <v>3920</v>
      </c>
      <c r="Q33" s="7" t="n">
        <f aca="false">INDEX(商品マスタ!$D:$D,MATCH(H33,商品マスタ!$A:$A,0))</f>
        <v>420</v>
      </c>
      <c r="R33" s="7" t="n">
        <f aca="false">P33-I33*Q33</f>
        <v>2240</v>
      </c>
    </row>
    <row r="34" customFormat="false" ht="15" hidden="false" customHeight="true" outlineLevel="0" collapsed="false">
      <c r="A34" s="14" t="s">
        <v>140</v>
      </c>
      <c r="B34" s="15" t="n">
        <v>46046</v>
      </c>
      <c r="C34" s="5" t="s">
        <v>43</v>
      </c>
      <c r="D34" s="5" t="s">
        <v>44</v>
      </c>
      <c r="E34" s="5" t="s">
        <v>141</v>
      </c>
      <c r="F34" s="5" t="s">
        <v>79</v>
      </c>
      <c r="G34" s="5" t="s">
        <v>47</v>
      </c>
      <c r="H34" s="5" t="s">
        <v>48</v>
      </c>
      <c r="I34" s="5" t="n">
        <v>1</v>
      </c>
      <c r="J34" s="5" t="n">
        <v>980</v>
      </c>
      <c r="K34" s="5" t="n">
        <v>0</v>
      </c>
      <c r="L34" s="14" t="s">
        <v>125</v>
      </c>
      <c r="M34" s="5"/>
      <c r="N34" s="5" t="s">
        <v>57</v>
      </c>
      <c r="O34" s="5"/>
      <c r="P34" s="7" t="n">
        <f aca="false">I34*J34*(1-K34)</f>
        <v>980</v>
      </c>
      <c r="Q34" s="7" t="n">
        <f aca="false">INDEX(商品マスタ!$D:$D,MATCH(H34,商品マスタ!$A:$A,0))</f>
        <v>420</v>
      </c>
      <c r="R34" s="7" t="n">
        <f aca="false">P34-I34*Q34</f>
        <v>560</v>
      </c>
    </row>
    <row r="35" customFormat="false" ht="15" hidden="false" customHeight="true" outlineLevel="0" collapsed="false">
      <c r="A35" s="14" t="s">
        <v>142</v>
      </c>
      <c r="B35" s="15" t="n">
        <v>46048</v>
      </c>
      <c r="C35" s="5" t="s">
        <v>53</v>
      </c>
      <c r="D35" s="14" t="s">
        <v>70</v>
      </c>
      <c r="E35" s="5" t="s">
        <v>143</v>
      </c>
      <c r="F35" s="5" t="s">
        <v>79</v>
      </c>
      <c r="G35" s="5" t="s">
        <v>67</v>
      </c>
      <c r="H35" s="5" t="s">
        <v>88</v>
      </c>
      <c r="I35" s="5" t="n">
        <v>2</v>
      </c>
      <c r="J35" s="5" t="n">
        <v>2600</v>
      </c>
      <c r="K35" s="5" t="n">
        <v>0.1</v>
      </c>
      <c r="L35" s="14" t="s">
        <v>125</v>
      </c>
      <c r="M35" s="5"/>
      <c r="N35" s="5" t="s">
        <v>57</v>
      </c>
      <c r="O35" s="5"/>
      <c r="P35" s="7" t="n">
        <f aca="false">I35*J35*(1-K35)</f>
        <v>4680</v>
      </c>
      <c r="Q35" s="7" t="n">
        <f aca="false">INDEX(商品マスタ!$D:$D,MATCH(H35,商品マスタ!$A:$A,0))</f>
        <v>1150</v>
      </c>
      <c r="R35" s="7" t="n">
        <f aca="false">P35-I35*Q35</f>
        <v>2380</v>
      </c>
    </row>
    <row r="36" customFormat="false" ht="15" hidden="false" customHeight="true" outlineLevel="0" collapsed="false">
      <c r="A36" s="14" t="s">
        <v>144</v>
      </c>
      <c r="B36" s="15" t="n">
        <v>46034</v>
      </c>
      <c r="C36" s="5" t="s">
        <v>59</v>
      </c>
      <c r="D36" s="5" t="s">
        <v>44</v>
      </c>
      <c r="E36" s="5" t="s">
        <v>145</v>
      </c>
      <c r="F36" s="5" t="s">
        <v>79</v>
      </c>
      <c r="G36" s="5" t="s">
        <v>62</v>
      </c>
      <c r="H36" s="5" t="s">
        <v>85</v>
      </c>
      <c r="I36" s="5" t="n">
        <v>2</v>
      </c>
      <c r="J36" s="5" t="n">
        <v>3200</v>
      </c>
      <c r="K36" s="5" t="n">
        <v>0.05</v>
      </c>
      <c r="L36" s="5" t="s">
        <v>56</v>
      </c>
      <c r="M36" s="5"/>
      <c r="N36" s="5" t="s">
        <v>57</v>
      </c>
      <c r="O36" s="5"/>
      <c r="P36" s="7" t="n">
        <f aca="false">I36*J36*(1-K36)</f>
        <v>6080</v>
      </c>
      <c r="Q36" s="7" t="n">
        <f aca="false">INDEX(商品マスタ!$D:$D,MATCH(H36,商品マスタ!$A:$A,0))</f>
        <v>1600</v>
      </c>
      <c r="R36" s="7" t="n">
        <f aca="false">P36-I36*Q36</f>
        <v>2880</v>
      </c>
    </row>
    <row r="37" customFormat="false" ht="15" hidden="false" customHeight="true" outlineLevel="0" collapsed="false">
      <c r="A37" s="14" t="s">
        <v>146</v>
      </c>
      <c r="B37" s="15" t="n">
        <v>46047</v>
      </c>
      <c r="C37" s="5" t="s">
        <v>53</v>
      </c>
      <c r="D37" s="5" t="s">
        <v>44</v>
      </c>
      <c r="E37" s="5" t="s">
        <v>147</v>
      </c>
      <c r="F37" s="5" t="s">
        <v>61</v>
      </c>
      <c r="G37" s="5" t="s">
        <v>62</v>
      </c>
      <c r="H37" s="5" t="s">
        <v>80</v>
      </c>
      <c r="I37" s="5" t="n">
        <v>4</v>
      </c>
      <c r="J37" s="5" t="n">
        <v>2800</v>
      </c>
      <c r="K37" s="5" t="n">
        <v>0.05</v>
      </c>
      <c r="L37" s="5" t="s">
        <v>64</v>
      </c>
      <c r="M37" s="5"/>
      <c r="N37" s="5" t="s">
        <v>57</v>
      </c>
      <c r="O37" s="5"/>
      <c r="P37" s="7" t="n">
        <f aca="false">I37*J37*(1-K37)</f>
        <v>10640</v>
      </c>
      <c r="Q37" s="7" t="n">
        <f aca="false">INDEX(商品マスタ!$D:$D,MATCH(H37,商品マスタ!$A:$A,0))</f>
        <v>1400</v>
      </c>
      <c r="R37" s="7" t="n">
        <f aca="false">P37-I37*Q37</f>
        <v>5040</v>
      </c>
    </row>
    <row r="38" customFormat="false" ht="15" hidden="false" customHeight="true" outlineLevel="0" collapsed="false">
      <c r="A38" s="14" t="s">
        <v>148</v>
      </c>
      <c r="B38" s="15" t="n">
        <v>46036</v>
      </c>
      <c r="C38" s="5" t="s">
        <v>59</v>
      </c>
      <c r="D38" s="14" t="s">
        <v>70</v>
      </c>
      <c r="E38" s="5" t="s">
        <v>149</v>
      </c>
      <c r="F38" s="5" t="s">
        <v>61</v>
      </c>
      <c r="G38" s="5" t="s">
        <v>116</v>
      </c>
      <c r="H38" s="5" t="s">
        <v>120</v>
      </c>
      <c r="I38" s="5" t="n">
        <v>1</v>
      </c>
      <c r="J38" s="5" t="n">
        <v>3800</v>
      </c>
      <c r="K38" s="5" t="n">
        <v>0</v>
      </c>
      <c r="L38" s="5" t="s">
        <v>64</v>
      </c>
      <c r="M38" s="5"/>
      <c r="N38" s="5" t="s">
        <v>57</v>
      </c>
      <c r="O38" s="5"/>
      <c r="P38" s="7" t="n">
        <f aca="false">I38*J38*(1-K38)</f>
        <v>3800</v>
      </c>
      <c r="Q38" s="7" t="n">
        <f aca="false">INDEX(商品マスタ!$D:$D,MATCH(H38,商品マスタ!$A:$A,0))</f>
        <v>1900</v>
      </c>
      <c r="R38" s="7" t="n">
        <f aca="false">P38-I38*Q38</f>
        <v>1900</v>
      </c>
    </row>
    <row r="39" customFormat="false" ht="15" hidden="false" customHeight="true" outlineLevel="0" collapsed="false">
      <c r="A39" s="14" t="s">
        <v>150</v>
      </c>
      <c r="B39" s="15" t="n">
        <v>46025</v>
      </c>
      <c r="C39" s="5" t="s">
        <v>53</v>
      </c>
      <c r="D39" s="5" t="s">
        <v>44</v>
      </c>
      <c r="E39" s="5" t="s">
        <v>151</v>
      </c>
      <c r="F39" s="5" t="s">
        <v>79</v>
      </c>
      <c r="G39" s="5" t="s">
        <v>47</v>
      </c>
      <c r="H39" s="5" t="s">
        <v>55</v>
      </c>
      <c r="I39" s="5" t="n">
        <v>1</v>
      </c>
      <c r="J39" s="5" t="n">
        <v>1500</v>
      </c>
      <c r="K39" s="5" t="n">
        <v>0</v>
      </c>
      <c r="L39" s="5" t="s">
        <v>64</v>
      </c>
      <c r="M39" s="5" t="s">
        <v>50</v>
      </c>
      <c r="N39" s="5" t="s">
        <v>51</v>
      </c>
      <c r="O39" s="5"/>
      <c r="P39" s="7" t="n">
        <f aca="false">I39*J39*(1-K39)</f>
        <v>1500</v>
      </c>
      <c r="Q39" s="7" t="n">
        <f aca="false">INDEX(商品マスタ!$D:$D,MATCH(H39,商品マスタ!$A:$A,0))</f>
        <v>680</v>
      </c>
      <c r="R39" s="7" t="n">
        <f aca="false">P39-I39*Q39</f>
        <v>820</v>
      </c>
    </row>
    <row r="40" customFormat="false" ht="15" hidden="false" customHeight="true" outlineLevel="0" collapsed="false">
      <c r="A40" s="14" t="s">
        <v>152</v>
      </c>
      <c r="B40" s="15" t="n">
        <v>46032</v>
      </c>
      <c r="C40" s="5" t="s">
        <v>53</v>
      </c>
      <c r="D40" s="5" t="s">
        <v>44</v>
      </c>
      <c r="E40" s="5" t="s">
        <v>153</v>
      </c>
      <c r="F40" s="5" t="s">
        <v>79</v>
      </c>
      <c r="G40" s="5" t="s">
        <v>116</v>
      </c>
      <c r="H40" s="5" t="s">
        <v>120</v>
      </c>
      <c r="I40" s="5" t="n">
        <v>1</v>
      </c>
      <c r="J40" s="5" t="n">
        <v>3800</v>
      </c>
      <c r="K40" s="5" t="n">
        <v>0</v>
      </c>
      <c r="L40" s="5" t="s">
        <v>81</v>
      </c>
      <c r="M40" s="5"/>
      <c r="N40" s="5" t="s">
        <v>57</v>
      </c>
      <c r="O40" s="5"/>
      <c r="P40" s="7" t="n">
        <f aca="false">I40*J40*(1-K40)</f>
        <v>3800</v>
      </c>
      <c r="Q40" s="7" t="n">
        <f aca="false">INDEX(商品マスタ!$D:$D,MATCH(H40,商品マスタ!$A:$A,0))</f>
        <v>1900</v>
      </c>
      <c r="R40" s="7" t="n">
        <f aca="false">P40-I40*Q40</f>
        <v>1900</v>
      </c>
    </row>
    <row r="41" customFormat="false" ht="15" hidden="false" customHeight="true" outlineLevel="0" collapsed="false">
      <c r="A41" s="14" t="s">
        <v>154</v>
      </c>
      <c r="B41" s="15" t="n">
        <v>46041</v>
      </c>
      <c r="C41" s="5" t="s">
        <v>53</v>
      </c>
      <c r="D41" s="5" t="s">
        <v>44</v>
      </c>
      <c r="E41" s="5" t="s">
        <v>155</v>
      </c>
      <c r="F41" s="5" t="s">
        <v>79</v>
      </c>
      <c r="G41" s="5" t="s">
        <v>62</v>
      </c>
      <c r="H41" s="5" t="s">
        <v>80</v>
      </c>
      <c r="I41" s="5" t="n">
        <v>4</v>
      </c>
      <c r="J41" s="5" t="n">
        <v>2800</v>
      </c>
      <c r="K41" s="5" t="n">
        <v>0</v>
      </c>
      <c r="L41" s="14" t="s">
        <v>75</v>
      </c>
      <c r="M41" s="5"/>
      <c r="N41" s="5" t="s">
        <v>57</v>
      </c>
      <c r="O41" s="5"/>
      <c r="P41" s="7" t="n">
        <f aca="false">I41*J41*(1-K41)</f>
        <v>11200</v>
      </c>
      <c r="Q41" s="7" t="n">
        <f aca="false">INDEX(商品マスタ!$D:$D,MATCH(H41,商品マスタ!$A:$A,0))</f>
        <v>1400</v>
      </c>
      <c r="R41" s="7" t="n">
        <f aca="false">P41-I41*Q41</f>
        <v>5600</v>
      </c>
    </row>
    <row r="42" customFormat="false" ht="15" hidden="false" customHeight="true" outlineLevel="0" collapsed="false">
      <c r="A42" s="14" t="s">
        <v>156</v>
      </c>
      <c r="B42" s="15" t="n">
        <v>46041</v>
      </c>
      <c r="C42" s="5" t="s">
        <v>53</v>
      </c>
      <c r="D42" s="5" t="s">
        <v>44</v>
      </c>
      <c r="E42" s="5" t="s">
        <v>137</v>
      </c>
      <c r="F42" s="5" t="s">
        <v>46</v>
      </c>
      <c r="G42" s="5" t="s">
        <v>47</v>
      </c>
      <c r="H42" s="5" t="s">
        <v>48</v>
      </c>
      <c r="I42" s="5" t="n">
        <v>24</v>
      </c>
      <c r="J42" s="5" t="n">
        <v>980</v>
      </c>
      <c r="K42" s="5" t="n">
        <v>0</v>
      </c>
      <c r="L42" s="14" t="s">
        <v>125</v>
      </c>
      <c r="M42" s="5"/>
      <c r="N42" s="5" t="s">
        <v>57</v>
      </c>
      <c r="O42" s="5"/>
      <c r="P42" s="7" t="n">
        <f aca="false">I42*J42*(1-K42)</f>
        <v>23520</v>
      </c>
      <c r="Q42" s="7" t="n">
        <f aca="false">INDEX(商品マスタ!$D:$D,MATCH(H42,商品マスタ!$A:$A,0))</f>
        <v>420</v>
      </c>
      <c r="R42" s="7" t="n">
        <f aca="false">P42-I42*Q42</f>
        <v>13440</v>
      </c>
    </row>
    <row r="43" customFormat="false" ht="15" hidden="false" customHeight="true" outlineLevel="0" collapsed="false">
      <c r="A43" s="14" t="s">
        <v>157</v>
      </c>
      <c r="B43" s="15" t="n">
        <v>46053</v>
      </c>
      <c r="C43" s="5" t="s">
        <v>53</v>
      </c>
      <c r="D43" s="5" t="s">
        <v>44</v>
      </c>
      <c r="E43" s="5" t="s">
        <v>158</v>
      </c>
      <c r="F43" s="5" t="s">
        <v>61</v>
      </c>
      <c r="G43" s="5" t="s">
        <v>67</v>
      </c>
      <c r="H43" s="5" t="s">
        <v>106</v>
      </c>
      <c r="I43" s="5" t="n">
        <v>1</v>
      </c>
      <c r="J43" s="16" t="n">
        <v>1400</v>
      </c>
      <c r="K43" s="5" t="n">
        <v>0.1</v>
      </c>
      <c r="L43" s="14" t="s">
        <v>125</v>
      </c>
      <c r="M43" s="5"/>
      <c r="N43" s="5" t="s">
        <v>57</v>
      </c>
      <c r="O43" s="5" t="s">
        <v>159</v>
      </c>
      <c r="P43" s="7" t="n">
        <f aca="false">I43*J43*(1-K43)</f>
        <v>1260</v>
      </c>
      <c r="Q43" s="7" t="n">
        <f aca="false">INDEX(商品マスタ!$D:$D,MATCH(H43,商品マスタ!$A:$A,0))</f>
        <v>610</v>
      </c>
      <c r="R43" s="7" t="n">
        <f aca="false">P43-I43*Q43</f>
        <v>650</v>
      </c>
    </row>
    <row r="44" customFormat="false" ht="15" hidden="false" customHeight="true" outlineLevel="0" collapsed="false">
      <c r="A44" s="14" t="s">
        <v>160</v>
      </c>
      <c r="B44" s="15" t="n">
        <v>46035</v>
      </c>
      <c r="C44" s="5" t="s">
        <v>59</v>
      </c>
      <c r="D44" s="5" t="s">
        <v>44</v>
      </c>
      <c r="E44" s="5" t="s">
        <v>103</v>
      </c>
      <c r="F44" s="5" t="s">
        <v>79</v>
      </c>
      <c r="G44" s="5" t="s">
        <v>67</v>
      </c>
      <c r="H44" s="5" t="s">
        <v>68</v>
      </c>
      <c r="I44" s="5" t="n">
        <v>2</v>
      </c>
      <c r="J44" s="5" t="n">
        <v>1200</v>
      </c>
      <c r="K44" s="5" t="n">
        <v>0</v>
      </c>
      <c r="L44" s="5" t="s">
        <v>81</v>
      </c>
      <c r="M44" s="5"/>
      <c r="N44" s="5" t="s">
        <v>57</v>
      </c>
      <c r="O44" s="5"/>
      <c r="P44" s="7" t="n">
        <f aca="false">I44*J44*(1-K44)</f>
        <v>2400</v>
      </c>
      <c r="Q44" s="7" t="n">
        <f aca="false">INDEX(商品マスタ!$D:$D,MATCH(H44,商品マスタ!$A:$A,0))</f>
        <v>520</v>
      </c>
      <c r="R44" s="7" t="n">
        <f aca="false">P44-I44*Q44</f>
        <v>1360</v>
      </c>
    </row>
    <row r="45" customFormat="false" ht="15" hidden="false" customHeight="true" outlineLevel="0" collapsed="false">
      <c r="A45" s="14" t="s">
        <v>161</v>
      </c>
      <c r="B45" s="15" t="n">
        <v>46048</v>
      </c>
      <c r="C45" s="5" t="s">
        <v>53</v>
      </c>
      <c r="D45" s="14" t="s">
        <v>70</v>
      </c>
      <c r="E45" s="5" t="s">
        <v>162</v>
      </c>
      <c r="F45" s="5" t="s">
        <v>79</v>
      </c>
      <c r="G45" s="5" t="s">
        <v>62</v>
      </c>
      <c r="H45" s="5" t="s">
        <v>85</v>
      </c>
      <c r="I45" s="5" t="n">
        <v>2</v>
      </c>
      <c r="J45" s="5" t="n">
        <v>3200</v>
      </c>
      <c r="K45" s="5" t="n">
        <v>0.05</v>
      </c>
      <c r="L45" s="14" t="s">
        <v>125</v>
      </c>
      <c r="M45" s="5"/>
      <c r="N45" s="5" t="s">
        <v>57</v>
      </c>
      <c r="O45" s="5"/>
      <c r="P45" s="7" t="n">
        <f aca="false">I45*J45*(1-K45)</f>
        <v>6080</v>
      </c>
      <c r="Q45" s="7" t="n">
        <f aca="false">INDEX(商品マスタ!$D:$D,MATCH(H45,商品マスタ!$A:$A,0))</f>
        <v>1600</v>
      </c>
      <c r="R45" s="7" t="n">
        <f aca="false">P45-I45*Q45</f>
        <v>2880</v>
      </c>
    </row>
    <row r="46" customFormat="false" ht="15" hidden="false" customHeight="true" outlineLevel="0" collapsed="false">
      <c r="A46" s="14" t="s">
        <v>163</v>
      </c>
      <c r="B46" s="15" t="n">
        <v>46052</v>
      </c>
      <c r="C46" s="5" t="s">
        <v>59</v>
      </c>
      <c r="D46" s="5" t="s">
        <v>44</v>
      </c>
      <c r="E46" s="5" t="s">
        <v>164</v>
      </c>
      <c r="F46" s="5" t="s">
        <v>61</v>
      </c>
      <c r="G46" s="5" t="s">
        <v>47</v>
      </c>
      <c r="H46" s="5" t="s">
        <v>48</v>
      </c>
      <c r="I46" s="5" t="n">
        <v>1</v>
      </c>
      <c r="J46" s="5" t="n">
        <v>980</v>
      </c>
      <c r="K46" s="5" t="n">
        <v>0</v>
      </c>
      <c r="L46" s="5" t="s">
        <v>81</v>
      </c>
      <c r="M46" s="5"/>
      <c r="N46" s="5" t="s">
        <v>57</v>
      </c>
      <c r="O46" s="5"/>
      <c r="P46" s="7" t="n">
        <f aca="false">I46*J46*(1-K46)</f>
        <v>980</v>
      </c>
      <c r="Q46" s="7" t="n">
        <f aca="false">INDEX(商品マスタ!$D:$D,MATCH(H46,商品マスタ!$A:$A,0))</f>
        <v>420</v>
      </c>
      <c r="R46" s="7" t="n">
        <f aca="false">P46-I46*Q46</f>
        <v>560</v>
      </c>
    </row>
    <row r="47" customFormat="false" ht="15" hidden="false" customHeight="true" outlineLevel="0" collapsed="false">
      <c r="A47" s="14" t="s">
        <v>165</v>
      </c>
      <c r="B47" s="15" t="n">
        <v>46029</v>
      </c>
      <c r="C47" s="5" t="s">
        <v>53</v>
      </c>
      <c r="D47" s="5" t="s">
        <v>44</v>
      </c>
      <c r="E47" s="5" t="s">
        <v>166</v>
      </c>
      <c r="F47" s="5" t="s">
        <v>79</v>
      </c>
      <c r="G47" s="5" t="s">
        <v>67</v>
      </c>
      <c r="H47" s="5" t="s">
        <v>88</v>
      </c>
      <c r="I47" s="5" t="n">
        <v>1</v>
      </c>
      <c r="J47" s="5" t="n">
        <v>2600</v>
      </c>
      <c r="K47" s="5" t="n">
        <v>0.05</v>
      </c>
      <c r="L47" s="5" t="s">
        <v>81</v>
      </c>
      <c r="M47" s="5"/>
      <c r="N47" s="5" t="s">
        <v>57</v>
      </c>
      <c r="O47" s="5"/>
      <c r="P47" s="7" t="n">
        <f aca="false">I47*J47*(1-K47)</f>
        <v>2470</v>
      </c>
      <c r="Q47" s="7" t="n">
        <f aca="false">INDEX(商品マスタ!$D:$D,MATCH(H47,商品マスタ!$A:$A,0))</f>
        <v>1150</v>
      </c>
      <c r="R47" s="7" t="n">
        <f aca="false">P47-I47*Q47</f>
        <v>1320</v>
      </c>
    </row>
    <row r="48" customFormat="false" ht="15" hidden="false" customHeight="true" outlineLevel="0" collapsed="false">
      <c r="A48" s="14" t="s">
        <v>167</v>
      </c>
      <c r="B48" s="15" t="n">
        <v>46052</v>
      </c>
      <c r="C48" s="5" t="s">
        <v>77</v>
      </c>
      <c r="D48" s="14" t="s">
        <v>70</v>
      </c>
      <c r="E48" s="5" t="s">
        <v>168</v>
      </c>
      <c r="F48" s="5" t="s">
        <v>61</v>
      </c>
      <c r="G48" s="5" t="s">
        <v>62</v>
      </c>
      <c r="H48" s="5" t="s">
        <v>85</v>
      </c>
      <c r="I48" s="5" t="n">
        <v>1</v>
      </c>
      <c r="J48" s="5" t="n">
        <v>3200</v>
      </c>
      <c r="K48" s="5" t="n">
        <v>0</v>
      </c>
      <c r="L48" s="5" t="s">
        <v>49</v>
      </c>
      <c r="M48" s="5"/>
      <c r="N48" s="5" t="s">
        <v>57</v>
      </c>
      <c r="O48" s="5"/>
      <c r="P48" s="7" t="n">
        <f aca="false">I48*J48*(1-K48)</f>
        <v>3200</v>
      </c>
      <c r="Q48" s="7" t="n">
        <f aca="false">INDEX(商品マスタ!$D:$D,MATCH(H48,商品マスタ!$A:$A,0))</f>
        <v>1600</v>
      </c>
      <c r="R48" s="7" t="n">
        <f aca="false">P48-I48*Q48</f>
        <v>1600</v>
      </c>
    </row>
    <row r="49" customFormat="false" ht="15" hidden="false" customHeight="true" outlineLevel="0" collapsed="false">
      <c r="A49" s="14" t="s">
        <v>169</v>
      </c>
      <c r="B49" s="15" t="n">
        <v>46036</v>
      </c>
      <c r="C49" s="5" t="s">
        <v>53</v>
      </c>
      <c r="D49" s="14" t="s">
        <v>70</v>
      </c>
      <c r="E49" s="5" t="s">
        <v>170</v>
      </c>
      <c r="F49" s="5" t="s">
        <v>79</v>
      </c>
      <c r="G49" s="5" t="s">
        <v>62</v>
      </c>
      <c r="H49" s="5" t="s">
        <v>63</v>
      </c>
      <c r="I49" s="5" t="n">
        <v>2</v>
      </c>
      <c r="J49" s="5" t="n">
        <v>480</v>
      </c>
      <c r="K49" s="5" t="n">
        <v>0.1</v>
      </c>
      <c r="L49" s="14" t="s">
        <v>75</v>
      </c>
      <c r="M49" s="5"/>
      <c r="N49" s="5" t="s">
        <v>57</v>
      </c>
      <c r="O49" s="5"/>
      <c r="P49" s="7" t="n">
        <f aca="false">I49*J49*(1-K49)</f>
        <v>864</v>
      </c>
      <c r="Q49" s="7" t="n">
        <f aca="false">INDEX(商品マスタ!$D:$D,MATCH(H49,商品マスタ!$A:$A,0))</f>
        <v>180</v>
      </c>
      <c r="R49" s="7" t="n">
        <f aca="false">P49-I49*Q49</f>
        <v>504</v>
      </c>
    </row>
    <row r="50" customFormat="false" ht="15" hidden="false" customHeight="true" outlineLevel="0" collapsed="false">
      <c r="A50" s="14" t="s">
        <v>171</v>
      </c>
      <c r="B50" s="15" t="n">
        <v>46033</v>
      </c>
      <c r="C50" s="5" t="s">
        <v>53</v>
      </c>
      <c r="D50" s="14" t="s">
        <v>70</v>
      </c>
      <c r="E50" s="14" t="s">
        <v>54</v>
      </c>
      <c r="F50" s="5" t="s">
        <v>46</v>
      </c>
      <c r="G50" s="5" t="s">
        <v>62</v>
      </c>
      <c r="H50" s="5" t="s">
        <v>80</v>
      </c>
      <c r="I50" s="5" t="n">
        <v>10</v>
      </c>
      <c r="J50" s="5" t="n">
        <v>2800</v>
      </c>
      <c r="K50" s="5" t="n">
        <v>0</v>
      </c>
      <c r="L50" s="14" t="s">
        <v>75</v>
      </c>
      <c r="M50" s="5"/>
      <c r="N50" s="5" t="s">
        <v>57</v>
      </c>
      <c r="O50" s="5"/>
      <c r="P50" s="7" t="n">
        <f aca="false">I50*J50*(1-K50)</f>
        <v>28000</v>
      </c>
      <c r="Q50" s="7" t="n">
        <f aca="false">INDEX(商品マスタ!$D:$D,MATCH(H50,商品マスタ!$A:$A,0))</f>
        <v>1400</v>
      </c>
      <c r="R50" s="7" t="n">
        <f aca="false">P50-I50*Q50</f>
        <v>14000</v>
      </c>
    </row>
    <row r="51" customFormat="false" ht="15" hidden="false" customHeight="true" outlineLevel="0" collapsed="false">
      <c r="A51" s="14" t="s">
        <v>172</v>
      </c>
      <c r="B51" s="15" t="n">
        <v>46024</v>
      </c>
      <c r="C51" s="5" t="s">
        <v>43</v>
      </c>
      <c r="D51" s="14" t="s">
        <v>70</v>
      </c>
      <c r="E51" s="5" t="s">
        <v>173</v>
      </c>
      <c r="F51" s="5" t="s">
        <v>61</v>
      </c>
      <c r="G51" s="5" t="s">
        <v>116</v>
      </c>
      <c r="H51" s="5" t="s">
        <v>174</v>
      </c>
      <c r="I51" s="5" t="n">
        <v>2</v>
      </c>
      <c r="J51" s="5" t="n">
        <v>5800</v>
      </c>
      <c r="K51" s="5" t="n">
        <v>0</v>
      </c>
      <c r="L51" s="5" t="s">
        <v>56</v>
      </c>
      <c r="M51" s="5"/>
      <c r="N51" s="5" t="s">
        <v>57</v>
      </c>
      <c r="O51" s="5"/>
      <c r="P51" s="7" t="n">
        <f aca="false">I51*J51*(1-K51)</f>
        <v>11600</v>
      </c>
      <c r="Q51" s="7" t="n">
        <f aca="false">INDEX(商品マスタ!$D:$D,MATCH(H51,商品マスタ!$A:$A,0))</f>
        <v>2900</v>
      </c>
      <c r="R51" s="7" t="n">
        <f aca="false">P51-I51*Q51</f>
        <v>5800</v>
      </c>
    </row>
    <row r="52" customFormat="false" ht="15" hidden="false" customHeight="true" outlineLevel="0" collapsed="false">
      <c r="A52" s="14" t="s">
        <v>175</v>
      </c>
      <c r="B52" s="15" t="n">
        <v>46034</v>
      </c>
      <c r="C52" s="5" t="s">
        <v>43</v>
      </c>
      <c r="D52" s="14" t="s">
        <v>70</v>
      </c>
      <c r="E52" s="5" t="s">
        <v>176</v>
      </c>
      <c r="F52" s="5" t="s">
        <v>61</v>
      </c>
      <c r="G52" s="5" t="s">
        <v>116</v>
      </c>
      <c r="H52" s="5" t="s">
        <v>117</v>
      </c>
      <c r="I52" s="5" t="n">
        <v>1</v>
      </c>
      <c r="J52" s="5" t="n">
        <v>1800</v>
      </c>
      <c r="K52" s="5" t="n">
        <v>0</v>
      </c>
      <c r="L52" s="5" t="s">
        <v>49</v>
      </c>
      <c r="M52" s="5"/>
      <c r="N52" s="5" t="s">
        <v>57</v>
      </c>
      <c r="O52" s="5"/>
      <c r="P52" s="7" t="n">
        <f aca="false">I52*J52*(1-K52)</f>
        <v>1800</v>
      </c>
      <c r="Q52" s="7" t="n">
        <f aca="false">INDEX(商品マスタ!$D:$D,MATCH(H52,商品マスタ!$A:$A,0))</f>
        <v>760</v>
      </c>
      <c r="R52" s="7" t="n">
        <f aca="false">P52-I52*Q52</f>
        <v>1040</v>
      </c>
    </row>
    <row r="53" customFormat="false" ht="15" hidden="false" customHeight="true" outlineLevel="0" collapsed="false">
      <c r="A53" s="14" t="s">
        <v>177</v>
      </c>
      <c r="B53" s="15" t="n">
        <v>46048</v>
      </c>
      <c r="C53" s="5" t="s">
        <v>77</v>
      </c>
      <c r="D53" s="14" t="s">
        <v>70</v>
      </c>
      <c r="E53" s="5" t="s">
        <v>178</v>
      </c>
      <c r="F53" s="5" t="s">
        <v>61</v>
      </c>
      <c r="G53" s="5" t="s">
        <v>67</v>
      </c>
      <c r="H53" s="5" t="s">
        <v>179</v>
      </c>
      <c r="I53" s="5" t="n">
        <v>1</v>
      </c>
      <c r="J53" s="5" t="n">
        <v>1600</v>
      </c>
      <c r="K53" s="5" t="n">
        <v>0</v>
      </c>
      <c r="L53" s="14" t="s">
        <v>125</v>
      </c>
      <c r="M53" s="5"/>
      <c r="N53" s="5" t="s">
        <v>57</v>
      </c>
      <c r="O53" s="5"/>
      <c r="P53" s="7" t="n">
        <f aca="false">I53*J53*(1-K53)</f>
        <v>1600</v>
      </c>
      <c r="Q53" s="7" t="n">
        <f aca="false">INDEX(商品マスタ!$D:$D,MATCH(H53,商品マスタ!$A:$A,0))</f>
        <v>700</v>
      </c>
      <c r="R53" s="7" t="n">
        <f aca="false">P53-I53*Q53</f>
        <v>900</v>
      </c>
    </row>
    <row r="54" customFormat="false" ht="15" hidden="false" customHeight="true" outlineLevel="0" collapsed="false">
      <c r="A54" s="14" t="s">
        <v>180</v>
      </c>
      <c r="B54" s="15" t="n">
        <v>46052</v>
      </c>
      <c r="C54" s="5" t="s">
        <v>53</v>
      </c>
      <c r="D54" s="5" t="s">
        <v>44</v>
      </c>
      <c r="E54" s="5" t="s">
        <v>45</v>
      </c>
      <c r="F54" s="5" t="s">
        <v>46</v>
      </c>
      <c r="G54" s="5" t="s">
        <v>116</v>
      </c>
      <c r="H54" s="5" t="s">
        <v>174</v>
      </c>
      <c r="I54" s="5" t="n">
        <v>20</v>
      </c>
      <c r="J54" s="5" t="n">
        <v>5800</v>
      </c>
      <c r="K54" s="5" t="n">
        <v>0</v>
      </c>
      <c r="L54" s="5" t="s">
        <v>81</v>
      </c>
      <c r="M54" s="5"/>
      <c r="N54" s="5" t="s">
        <v>57</v>
      </c>
      <c r="O54" s="5"/>
      <c r="P54" s="7" t="n">
        <f aca="false">I54*J54*(1-K54)</f>
        <v>116000</v>
      </c>
      <c r="Q54" s="7" t="n">
        <f aca="false">INDEX(商品マスタ!$D:$D,MATCH(H54,商品マスタ!$A:$A,0))</f>
        <v>2900</v>
      </c>
      <c r="R54" s="7" t="n">
        <f aca="false">P54-I54*Q54</f>
        <v>58000</v>
      </c>
    </row>
    <row r="55" customFormat="false" ht="15" hidden="false" customHeight="true" outlineLevel="0" collapsed="false">
      <c r="A55" s="14" t="s">
        <v>181</v>
      </c>
      <c r="B55" s="15" t="n">
        <v>46052</v>
      </c>
      <c r="C55" s="5" t="s">
        <v>83</v>
      </c>
      <c r="D55" s="5" t="s">
        <v>44</v>
      </c>
      <c r="E55" s="5" t="s">
        <v>182</v>
      </c>
      <c r="F55" s="5" t="s">
        <v>61</v>
      </c>
      <c r="G55" s="5" t="s">
        <v>67</v>
      </c>
      <c r="H55" s="5" t="s">
        <v>68</v>
      </c>
      <c r="I55" s="5" t="n">
        <v>2</v>
      </c>
      <c r="J55" s="5" t="n">
        <v>1200</v>
      </c>
      <c r="K55" s="5" t="n">
        <v>0</v>
      </c>
      <c r="L55" s="5" t="s">
        <v>56</v>
      </c>
      <c r="M55" s="5" t="s">
        <v>183</v>
      </c>
      <c r="N55" s="5" t="s">
        <v>51</v>
      </c>
      <c r="O55" s="5"/>
      <c r="P55" s="7" t="n">
        <f aca="false">I55*J55*(1-K55)</f>
        <v>2400</v>
      </c>
      <c r="Q55" s="7" t="n">
        <f aca="false">INDEX(商品マスタ!$D:$D,MATCH(H55,商品マスタ!$A:$A,0))</f>
        <v>520</v>
      </c>
      <c r="R55" s="7" t="n">
        <f aca="false">P55-I55*Q55</f>
        <v>1360</v>
      </c>
    </row>
    <row r="56" customFormat="false" ht="15" hidden="false" customHeight="true" outlineLevel="0" collapsed="false">
      <c r="A56" s="14" t="s">
        <v>184</v>
      </c>
      <c r="B56" s="15" t="n">
        <v>46047</v>
      </c>
      <c r="C56" s="5" t="s">
        <v>43</v>
      </c>
      <c r="D56" s="14" t="s">
        <v>70</v>
      </c>
      <c r="E56" s="5" t="s">
        <v>185</v>
      </c>
      <c r="F56" s="5"/>
      <c r="G56" s="5" t="s">
        <v>67</v>
      </c>
      <c r="H56" s="5" t="s">
        <v>68</v>
      </c>
      <c r="I56" s="5" t="n">
        <v>1</v>
      </c>
      <c r="J56" s="5" t="n">
        <v>1200</v>
      </c>
      <c r="K56" s="5" t="n">
        <v>0</v>
      </c>
      <c r="L56" s="5" t="s">
        <v>64</v>
      </c>
      <c r="M56" s="5"/>
      <c r="N56" s="5" t="s">
        <v>57</v>
      </c>
      <c r="O56" s="5"/>
      <c r="P56" s="7" t="n">
        <f aca="false">I56*J56*(1-K56)</f>
        <v>1200</v>
      </c>
      <c r="Q56" s="7" t="n">
        <f aca="false">INDEX(商品マスタ!$D:$D,MATCH(H56,商品マスタ!$A:$A,0))</f>
        <v>520</v>
      </c>
      <c r="R56" s="7" t="n">
        <f aca="false">P56-I56*Q56</f>
        <v>680</v>
      </c>
    </row>
    <row r="57" customFormat="false" ht="15" hidden="false" customHeight="true" outlineLevel="0" collapsed="false">
      <c r="A57" s="14" t="s">
        <v>186</v>
      </c>
      <c r="B57" s="15" t="n">
        <v>46029</v>
      </c>
      <c r="C57" s="5" t="s">
        <v>77</v>
      </c>
      <c r="D57" s="5" t="s">
        <v>44</v>
      </c>
      <c r="E57" s="5" t="s">
        <v>187</v>
      </c>
      <c r="F57" s="5" t="s">
        <v>79</v>
      </c>
      <c r="G57" s="5" t="s">
        <v>47</v>
      </c>
      <c r="H57" s="5" t="s">
        <v>74</v>
      </c>
      <c r="I57" s="5" t="n">
        <v>1</v>
      </c>
      <c r="J57" s="5" t="n">
        <v>880</v>
      </c>
      <c r="K57" s="5" t="n">
        <v>0.05</v>
      </c>
      <c r="L57" s="5" t="s">
        <v>56</v>
      </c>
      <c r="M57" s="5"/>
      <c r="N57" s="5" t="s">
        <v>57</v>
      </c>
      <c r="O57" s="5"/>
      <c r="P57" s="7" t="n">
        <f aca="false">I57*J57*(1-K57)</f>
        <v>836</v>
      </c>
      <c r="Q57" s="7" t="n">
        <f aca="false">INDEX(商品マスタ!$D:$D,MATCH(H57,商品マスタ!$A:$A,0))</f>
        <v>360</v>
      </c>
      <c r="R57" s="7" t="n">
        <f aca="false">P57-I57*Q57</f>
        <v>476</v>
      </c>
    </row>
    <row r="58" customFormat="false" ht="15" hidden="false" customHeight="true" outlineLevel="0" collapsed="false">
      <c r="A58" s="14" t="s">
        <v>188</v>
      </c>
      <c r="B58" s="15" t="n">
        <v>46053</v>
      </c>
      <c r="C58" s="5" t="s">
        <v>83</v>
      </c>
      <c r="D58" s="14" t="s">
        <v>70</v>
      </c>
      <c r="E58" s="5" t="s">
        <v>158</v>
      </c>
      <c r="F58" s="5" t="s">
        <v>61</v>
      </c>
      <c r="G58" s="5" t="s">
        <v>67</v>
      </c>
      <c r="H58" s="5" t="s">
        <v>68</v>
      </c>
      <c r="I58" s="5" t="n">
        <v>1</v>
      </c>
      <c r="J58" s="5" t="n">
        <v>1200</v>
      </c>
      <c r="K58" s="5" t="n">
        <v>0</v>
      </c>
      <c r="L58" s="5" t="s">
        <v>56</v>
      </c>
      <c r="M58" s="5"/>
      <c r="N58" s="5" t="s">
        <v>57</v>
      </c>
      <c r="O58" s="5"/>
      <c r="P58" s="7" t="n">
        <f aca="false">I58*J58*(1-K58)</f>
        <v>1200</v>
      </c>
      <c r="Q58" s="7" t="n">
        <f aca="false">INDEX(商品マスタ!$D:$D,MATCH(H58,商品マスタ!$A:$A,0))</f>
        <v>520</v>
      </c>
      <c r="R58" s="7" t="n">
        <f aca="false">P58-I58*Q58</f>
        <v>680</v>
      </c>
    </row>
    <row r="59" customFormat="false" ht="15" hidden="false" customHeight="true" outlineLevel="0" collapsed="false">
      <c r="A59" s="14" t="s">
        <v>189</v>
      </c>
      <c r="B59" s="15" t="n">
        <v>46053</v>
      </c>
      <c r="C59" s="5" t="s">
        <v>59</v>
      </c>
      <c r="D59" s="5" t="s">
        <v>44</v>
      </c>
      <c r="E59" s="5" t="s">
        <v>190</v>
      </c>
      <c r="F59" s="5" t="s">
        <v>61</v>
      </c>
      <c r="G59" s="5" t="s">
        <v>67</v>
      </c>
      <c r="H59" s="5" t="s">
        <v>179</v>
      </c>
      <c r="I59" s="5" t="n">
        <v>1</v>
      </c>
      <c r="J59" s="5" t="n">
        <v>1600</v>
      </c>
      <c r="K59" s="5" t="n">
        <v>0</v>
      </c>
      <c r="L59" s="5" t="s">
        <v>64</v>
      </c>
      <c r="M59" s="5"/>
      <c r="N59" s="5" t="s">
        <v>57</v>
      </c>
      <c r="O59" s="5"/>
      <c r="P59" s="7" t="n">
        <f aca="false">I59*J59*(1-K59)</f>
        <v>1600</v>
      </c>
      <c r="Q59" s="7" t="n">
        <f aca="false">INDEX(商品マスタ!$D:$D,MATCH(H59,商品マスタ!$A:$A,0))</f>
        <v>700</v>
      </c>
      <c r="R59" s="7" t="n">
        <f aca="false">P59-I59*Q59</f>
        <v>900</v>
      </c>
    </row>
    <row r="60" customFormat="false" ht="15" hidden="false" customHeight="true" outlineLevel="0" collapsed="false">
      <c r="A60" s="14" t="s">
        <v>191</v>
      </c>
      <c r="B60" s="15" t="n">
        <v>46030</v>
      </c>
      <c r="C60" s="5" t="s">
        <v>43</v>
      </c>
      <c r="D60" s="5" t="s">
        <v>44</v>
      </c>
      <c r="E60" s="5" t="s">
        <v>192</v>
      </c>
      <c r="F60" s="5"/>
      <c r="G60" s="5" t="s">
        <v>47</v>
      </c>
      <c r="H60" s="5" t="s">
        <v>55</v>
      </c>
      <c r="I60" s="5" t="n">
        <v>4</v>
      </c>
      <c r="J60" s="5" t="n">
        <v>1500</v>
      </c>
      <c r="K60" s="5" t="n">
        <v>0.05</v>
      </c>
      <c r="L60" s="5" t="s">
        <v>64</v>
      </c>
      <c r="M60" s="5"/>
      <c r="N60" s="5" t="s">
        <v>57</v>
      </c>
      <c r="O60" s="5"/>
      <c r="P60" s="7" t="n">
        <f aca="false">I60*J60*(1-K60)</f>
        <v>5700</v>
      </c>
      <c r="Q60" s="7" t="n">
        <f aca="false">INDEX(商品マスタ!$D:$D,MATCH(H60,商品マスタ!$A:$A,0))</f>
        <v>680</v>
      </c>
      <c r="R60" s="7" t="n">
        <f aca="false">P60-I60*Q60</f>
        <v>2980</v>
      </c>
    </row>
    <row r="61" customFormat="false" ht="15" hidden="false" customHeight="true" outlineLevel="0" collapsed="false">
      <c r="A61" s="14" t="s">
        <v>193</v>
      </c>
      <c r="B61" s="15" t="n">
        <v>46029</v>
      </c>
      <c r="C61" s="5" t="s">
        <v>59</v>
      </c>
      <c r="D61" s="5" t="s">
        <v>44</v>
      </c>
      <c r="E61" s="5" t="s">
        <v>137</v>
      </c>
      <c r="F61" s="5" t="s">
        <v>46</v>
      </c>
      <c r="G61" s="5" t="s">
        <v>62</v>
      </c>
      <c r="H61" s="5" t="s">
        <v>80</v>
      </c>
      <c r="I61" s="5" t="n">
        <v>10</v>
      </c>
      <c r="J61" s="5" t="n">
        <v>2800</v>
      </c>
      <c r="K61" s="5" t="n">
        <v>0.1</v>
      </c>
      <c r="L61" s="5" t="s">
        <v>81</v>
      </c>
      <c r="M61" s="5"/>
      <c r="N61" s="5" t="s">
        <v>57</v>
      </c>
      <c r="O61" s="5"/>
      <c r="P61" s="7" t="n">
        <f aca="false">I61*J61*(1-K61)</f>
        <v>25200</v>
      </c>
      <c r="Q61" s="7" t="n">
        <f aca="false">INDEX(商品マスタ!$D:$D,MATCH(H61,商品マスタ!$A:$A,0))</f>
        <v>1400</v>
      </c>
      <c r="R61" s="7" t="n">
        <f aca="false">P61-I61*Q61</f>
        <v>11200</v>
      </c>
    </row>
    <row r="62" customFormat="false" ht="15" hidden="false" customHeight="true" outlineLevel="0" collapsed="false">
      <c r="A62" s="14" t="s">
        <v>194</v>
      </c>
      <c r="B62" s="15" t="n">
        <v>46025</v>
      </c>
      <c r="C62" s="5" t="s">
        <v>77</v>
      </c>
      <c r="D62" s="5" t="s">
        <v>44</v>
      </c>
      <c r="E62" s="5" t="s">
        <v>195</v>
      </c>
      <c r="F62" s="5" t="s">
        <v>61</v>
      </c>
      <c r="G62" s="5" t="s">
        <v>62</v>
      </c>
      <c r="H62" s="5" t="s">
        <v>93</v>
      </c>
      <c r="I62" s="5" t="n">
        <v>1</v>
      </c>
      <c r="J62" s="5" t="n">
        <v>9800</v>
      </c>
      <c r="K62" s="5" t="n">
        <v>0</v>
      </c>
      <c r="L62" s="5" t="s">
        <v>81</v>
      </c>
      <c r="M62" s="5"/>
      <c r="N62" s="5" t="s">
        <v>57</v>
      </c>
      <c r="O62" s="5"/>
      <c r="P62" s="7" t="n">
        <f aca="false">I62*J62*(1-K62)</f>
        <v>9800</v>
      </c>
      <c r="Q62" s="7" t="n">
        <f aca="false">INDEX(商品マスタ!$D:$D,MATCH(H62,商品マスタ!$A:$A,0))</f>
        <v>5400</v>
      </c>
      <c r="R62" s="7" t="n">
        <f aca="false">P62-I62*Q62</f>
        <v>4400</v>
      </c>
    </row>
    <row r="63" customFormat="false" ht="15" hidden="false" customHeight="true" outlineLevel="0" collapsed="false">
      <c r="A63" s="14" t="s">
        <v>196</v>
      </c>
      <c r="B63" s="15" t="n">
        <v>46029</v>
      </c>
      <c r="C63" s="5" t="s">
        <v>77</v>
      </c>
      <c r="D63" s="5" t="s">
        <v>44</v>
      </c>
      <c r="E63" s="5" t="s">
        <v>197</v>
      </c>
      <c r="F63" s="5" t="s">
        <v>79</v>
      </c>
      <c r="G63" s="5" t="s">
        <v>116</v>
      </c>
      <c r="H63" s="5" t="s">
        <v>174</v>
      </c>
      <c r="I63" s="5" t="n">
        <v>4</v>
      </c>
      <c r="J63" s="5" t="n">
        <v>5800</v>
      </c>
      <c r="K63" s="5" t="n">
        <v>0</v>
      </c>
      <c r="L63" s="14" t="s">
        <v>75</v>
      </c>
      <c r="M63" s="5" t="s">
        <v>198</v>
      </c>
      <c r="N63" s="5" t="s">
        <v>57</v>
      </c>
      <c r="O63" s="5"/>
      <c r="P63" s="7" t="n">
        <f aca="false">I63*J63*(1-K63)</f>
        <v>23200</v>
      </c>
      <c r="Q63" s="7" t="n">
        <f aca="false">INDEX(商品マスタ!$D:$D,MATCH(H63,商品マスタ!$A:$A,0))</f>
        <v>2900</v>
      </c>
      <c r="R63" s="7" t="n">
        <f aca="false">P63-I63*Q63</f>
        <v>11600</v>
      </c>
    </row>
    <row r="64" customFormat="false" ht="15" hidden="false" customHeight="true" outlineLevel="0" collapsed="false">
      <c r="A64" s="14" t="s">
        <v>199</v>
      </c>
      <c r="B64" s="15" t="n">
        <v>46036</v>
      </c>
      <c r="C64" s="5" t="s">
        <v>59</v>
      </c>
      <c r="D64" s="5" t="s">
        <v>44</v>
      </c>
      <c r="E64" s="14" t="s">
        <v>54</v>
      </c>
      <c r="F64" s="5" t="s">
        <v>46</v>
      </c>
      <c r="G64" s="5" t="s">
        <v>67</v>
      </c>
      <c r="H64" s="5" t="s">
        <v>106</v>
      </c>
      <c r="I64" s="5" t="n">
        <v>12</v>
      </c>
      <c r="J64" s="5" t="n">
        <v>1400</v>
      </c>
      <c r="K64" s="5" t="n">
        <v>0</v>
      </c>
      <c r="L64" s="5" t="s">
        <v>64</v>
      </c>
      <c r="M64" s="5"/>
      <c r="N64" s="5" t="s">
        <v>57</v>
      </c>
      <c r="O64" s="5"/>
      <c r="P64" s="7" t="n">
        <f aca="false">I64*J64*(1-K64)</f>
        <v>16800</v>
      </c>
      <c r="Q64" s="7" t="n">
        <f aca="false">INDEX(商品マスタ!$D:$D,MATCH(H64,商品マスタ!$A:$A,0))</f>
        <v>610</v>
      </c>
      <c r="R64" s="7" t="n">
        <f aca="false">P64-I64*Q64</f>
        <v>9480</v>
      </c>
    </row>
    <row r="65" customFormat="false" ht="15" hidden="false" customHeight="true" outlineLevel="0" collapsed="false">
      <c r="A65" s="14" t="s">
        <v>200</v>
      </c>
      <c r="B65" s="15" t="n">
        <v>46024</v>
      </c>
      <c r="C65" s="5" t="s">
        <v>59</v>
      </c>
      <c r="D65" s="14" t="s">
        <v>70</v>
      </c>
      <c r="E65" s="5" t="s">
        <v>201</v>
      </c>
      <c r="F65" s="5" t="s">
        <v>46</v>
      </c>
      <c r="G65" s="5" t="s">
        <v>62</v>
      </c>
      <c r="H65" s="5" t="s">
        <v>85</v>
      </c>
      <c r="I65" s="5" t="n">
        <v>20</v>
      </c>
      <c r="J65" s="5" t="n">
        <v>3200</v>
      </c>
      <c r="K65" s="5" t="n">
        <v>0.05</v>
      </c>
      <c r="L65" s="14" t="s">
        <v>75</v>
      </c>
      <c r="M65" s="5"/>
      <c r="N65" s="5" t="s">
        <v>57</v>
      </c>
      <c r="O65" s="5"/>
      <c r="P65" s="7" t="n">
        <f aca="false">I65*J65*(1-K65)</f>
        <v>60800</v>
      </c>
      <c r="Q65" s="7" t="n">
        <f aca="false">INDEX(商品マスタ!$D:$D,MATCH(H65,商品マスタ!$A:$A,0))</f>
        <v>1600</v>
      </c>
      <c r="R65" s="7" t="n">
        <f aca="false">P65-I65*Q65</f>
        <v>28800</v>
      </c>
    </row>
    <row r="66" customFormat="false" ht="15" hidden="false" customHeight="true" outlineLevel="0" collapsed="false">
      <c r="A66" s="14" t="s">
        <v>202</v>
      </c>
      <c r="B66" s="15" t="n">
        <v>46036</v>
      </c>
      <c r="C66" s="5" t="s">
        <v>83</v>
      </c>
      <c r="D66" s="5" t="s">
        <v>44</v>
      </c>
      <c r="E66" s="5" t="s">
        <v>203</v>
      </c>
      <c r="F66" s="5" t="s">
        <v>79</v>
      </c>
      <c r="G66" s="5" t="s">
        <v>62</v>
      </c>
      <c r="H66" s="5" t="s">
        <v>93</v>
      </c>
      <c r="I66" s="5" t="n">
        <v>2</v>
      </c>
      <c r="J66" s="5" t="n">
        <v>9800</v>
      </c>
      <c r="K66" s="5" t="n">
        <v>0</v>
      </c>
      <c r="L66" s="5" t="s">
        <v>49</v>
      </c>
      <c r="M66" s="5"/>
      <c r="N66" s="5" t="s">
        <v>57</v>
      </c>
      <c r="O66" s="5"/>
      <c r="P66" s="7" t="n">
        <f aca="false">I66*J66*(1-K66)</f>
        <v>19600</v>
      </c>
      <c r="Q66" s="7" t="n">
        <f aca="false">INDEX(商品マスタ!$D:$D,MATCH(H66,商品マスタ!$A:$A,0))</f>
        <v>5400</v>
      </c>
      <c r="R66" s="7" t="n">
        <f aca="false">P66-I66*Q66</f>
        <v>8800</v>
      </c>
    </row>
    <row r="67" customFormat="false" ht="15" hidden="false" customHeight="true" outlineLevel="0" collapsed="false">
      <c r="A67" s="14" t="s">
        <v>204</v>
      </c>
      <c r="B67" s="15" t="n">
        <v>46046</v>
      </c>
      <c r="C67" s="5" t="s">
        <v>77</v>
      </c>
      <c r="D67" s="5" t="s">
        <v>44</v>
      </c>
      <c r="E67" s="5" t="s">
        <v>205</v>
      </c>
      <c r="F67" s="5"/>
      <c r="G67" s="5" t="s">
        <v>67</v>
      </c>
      <c r="H67" s="5" t="s">
        <v>68</v>
      </c>
      <c r="I67" s="5" t="n">
        <v>1</v>
      </c>
      <c r="J67" s="5" t="n">
        <v>1200</v>
      </c>
      <c r="K67" s="5" t="n">
        <v>0</v>
      </c>
      <c r="L67" s="5" t="s">
        <v>49</v>
      </c>
      <c r="M67" s="5"/>
      <c r="N67" s="5" t="s">
        <v>57</v>
      </c>
      <c r="O67" s="5"/>
      <c r="P67" s="7" t="n">
        <f aca="false">I67*J67*(1-K67)</f>
        <v>1200</v>
      </c>
      <c r="Q67" s="7" t="n">
        <f aca="false">INDEX(商品マスタ!$D:$D,MATCH(H67,商品マスタ!$A:$A,0))</f>
        <v>520</v>
      </c>
      <c r="R67" s="7" t="n">
        <f aca="false">P67-I67*Q67</f>
        <v>680</v>
      </c>
    </row>
    <row r="68" customFormat="false" ht="15" hidden="false" customHeight="true" outlineLevel="0" collapsed="false">
      <c r="A68" s="14" t="s">
        <v>206</v>
      </c>
      <c r="B68" s="15" t="n">
        <v>46041</v>
      </c>
      <c r="C68" s="5" t="s">
        <v>59</v>
      </c>
      <c r="D68" s="5" t="s">
        <v>44</v>
      </c>
      <c r="E68" s="5" t="s">
        <v>207</v>
      </c>
      <c r="F68" s="5" t="s">
        <v>79</v>
      </c>
      <c r="G68" s="5" t="s">
        <v>62</v>
      </c>
      <c r="H68" s="5" t="s">
        <v>93</v>
      </c>
      <c r="I68" s="5" t="n">
        <v>1</v>
      </c>
      <c r="J68" s="5" t="n">
        <v>9800</v>
      </c>
      <c r="K68" s="5" t="n">
        <v>0.05</v>
      </c>
      <c r="L68" s="5" t="s">
        <v>49</v>
      </c>
      <c r="M68" s="5"/>
      <c r="N68" s="5" t="s">
        <v>57</v>
      </c>
      <c r="O68" s="5"/>
      <c r="P68" s="7" t="n">
        <f aca="false">I68*J68*(1-K68)</f>
        <v>9310</v>
      </c>
      <c r="Q68" s="7" t="n">
        <f aca="false">INDEX(商品マスタ!$D:$D,MATCH(H68,商品マスタ!$A:$A,0))</f>
        <v>5400</v>
      </c>
      <c r="R68" s="7" t="n">
        <f aca="false">P68-I68*Q68</f>
        <v>3910</v>
      </c>
    </row>
    <row r="69" customFormat="false" ht="15" hidden="false" customHeight="true" outlineLevel="0" collapsed="false">
      <c r="A69" s="14" t="s">
        <v>208</v>
      </c>
      <c r="B69" s="15" t="n">
        <v>46049</v>
      </c>
      <c r="C69" s="5" t="s">
        <v>53</v>
      </c>
      <c r="D69" s="14" t="s">
        <v>70</v>
      </c>
      <c r="E69" s="5" t="s">
        <v>209</v>
      </c>
      <c r="F69" s="5" t="s">
        <v>79</v>
      </c>
      <c r="G69" s="5" t="s">
        <v>62</v>
      </c>
      <c r="H69" s="5" t="s">
        <v>93</v>
      </c>
      <c r="I69" s="5" t="n">
        <v>1</v>
      </c>
      <c r="J69" s="5" t="n">
        <v>9800</v>
      </c>
      <c r="K69" s="5" t="n">
        <v>0.05</v>
      </c>
      <c r="L69" s="5" t="s">
        <v>81</v>
      </c>
      <c r="M69" s="5"/>
      <c r="N69" s="5" t="s">
        <v>57</v>
      </c>
      <c r="O69" s="5"/>
      <c r="P69" s="7" t="n">
        <f aca="false">I69*J69*(1-K69)</f>
        <v>9310</v>
      </c>
      <c r="Q69" s="7" t="n">
        <f aca="false">INDEX(商品マスタ!$D:$D,MATCH(H69,商品マスタ!$A:$A,0))</f>
        <v>5400</v>
      </c>
      <c r="R69" s="7" t="n">
        <f aca="false">P69-I69*Q69</f>
        <v>3910</v>
      </c>
    </row>
    <row r="70" customFormat="false" ht="15" hidden="false" customHeight="true" outlineLevel="0" collapsed="false">
      <c r="A70" s="14" t="s">
        <v>210</v>
      </c>
      <c r="B70" s="15" t="n">
        <v>46028</v>
      </c>
      <c r="C70" s="5" t="s">
        <v>53</v>
      </c>
      <c r="D70" s="5" t="s">
        <v>44</v>
      </c>
      <c r="E70" s="5" t="s">
        <v>141</v>
      </c>
      <c r="F70" s="5" t="s">
        <v>61</v>
      </c>
      <c r="G70" s="5" t="s">
        <v>67</v>
      </c>
      <c r="H70" s="5" t="s">
        <v>88</v>
      </c>
      <c r="I70" s="5" t="n">
        <v>1</v>
      </c>
      <c r="J70" s="5" t="n">
        <v>2600</v>
      </c>
      <c r="K70" s="5" t="n">
        <v>0</v>
      </c>
      <c r="L70" s="5" t="s">
        <v>81</v>
      </c>
      <c r="M70" s="5"/>
      <c r="N70" s="5" t="s">
        <v>57</v>
      </c>
      <c r="O70" s="5"/>
      <c r="P70" s="7" t="n">
        <f aca="false">I70*J70*(1-K70)</f>
        <v>2600</v>
      </c>
      <c r="Q70" s="7" t="n">
        <f aca="false">INDEX(商品マスタ!$D:$D,MATCH(H70,商品マスタ!$A:$A,0))</f>
        <v>1150</v>
      </c>
      <c r="R70" s="7" t="n">
        <f aca="false">P70-I70*Q70</f>
        <v>1450</v>
      </c>
    </row>
    <row r="71" customFormat="false" ht="15" hidden="false" customHeight="true" outlineLevel="0" collapsed="false">
      <c r="A71" s="14" t="s">
        <v>211</v>
      </c>
      <c r="B71" s="15" t="n">
        <v>46037</v>
      </c>
      <c r="C71" s="5" t="s">
        <v>59</v>
      </c>
      <c r="D71" s="5" t="s">
        <v>44</v>
      </c>
      <c r="E71" s="5" t="s">
        <v>212</v>
      </c>
      <c r="F71" s="5"/>
      <c r="G71" s="5" t="s">
        <v>62</v>
      </c>
      <c r="H71" s="5" t="s">
        <v>80</v>
      </c>
      <c r="I71" s="5" t="n">
        <v>2</v>
      </c>
      <c r="J71" s="5" t="n">
        <v>2800</v>
      </c>
      <c r="K71" s="5" t="n">
        <v>0</v>
      </c>
      <c r="L71" s="5" t="s">
        <v>56</v>
      </c>
      <c r="M71" s="5"/>
      <c r="N71" s="5" t="s">
        <v>57</v>
      </c>
      <c r="O71" s="5"/>
      <c r="P71" s="7" t="n">
        <f aca="false">I71*J71*(1-K71)</f>
        <v>5600</v>
      </c>
      <c r="Q71" s="7" t="n">
        <f aca="false">INDEX(商品マスタ!$D:$D,MATCH(H71,商品マスタ!$A:$A,0))</f>
        <v>1400</v>
      </c>
      <c r="R71" s="7" t="n">
        <f aca="false">P71-I71*Q71</f>
        <v>2800</v>
      </c>
    </row>
    <row r="72" customFormat="false" ht="15" hidden="false" customHeight="true" outlineLevel="0" collapsed="false">
      <c r="A72" s="14" t="s">
        <v>213</v>
      </c>
      <c r="B72" s="15" t="n">
        <v>46046</v>
      </c>
      <c r="C72" s="5" t="s">
        <v>59</v>
      </c>
      <c r="D72" s="14" t="s">
        <v>70</v>
      </c>
      <c r="E72" s="5" t="s">
        <v>214</v>
      </c>
      <c r="F72" s="5"/>
      <c r="G72" s="5" t="s">
        <v>62</v>
      </c>
      <c r="H72" s="5" t="s">
        <v>93</v>
      </c>
      <c r="I72" s="5" t="n">
        <v>2</v>
      </c>
      <c r="J72" s="5" t="n">
        <v>9800</v>
      </c>
      <c r="K72" s="5" t="n">
        <v>0.05</v>
      </c>
      <c r="L72" s="5" t="s">
        <v>81</v>
      </c>
      <c r="M72" s="5"/>
      <c r="N72" s="5" t="s">
        <v>57</v>
      </c>
      <c r="O72" s="5"/>
      <c r="P72" s="7" t="n">
        <f aca="false">I72*J72*(1-K72)</f>
        <v>18620</v>
      </c>
      <c r="Q72" s="7" t="n">
        <f aca="false">INDEX(商品マスタ!$D:$D,MATCH(H72,商品マスタ!$A:$A,0))</f>
        <v>5400</v>
      </c>
      <c r="R72" s="7" t="n">
        <f aca="false">P72-I72*Q72</f>
        <v>7820</v>
      </c>
    </row>
    <row r="73" customFormat="false" ht="15" hidden="false" customHeight="true" outlineLevel="0" collapsed="false">
      <c r="A73" s="14" t="s">
        <v>215</v>
      </c>
      <c r="B73" s="15" t="n">
        <v>46023</v>
      </c>
      <c r="C73" s="5" t="s">
        <v>83</v>
      </c>
      <c r="D73" s="14" t="s">
        <v>70</v>
      </c>
      <c r="E73" s="5" t="s">
        <v>216</v>
      </c>
      <c r="F73" s="5"/>
      <c r="G73" s="5" t="s">
        <v>62</v>
      </c>
      <c r="H73" s="5" t="s">
        <v>63</v>
      </c>
      <c r="I73" s="5" t="n">
        <v>2</v>
      </c>
      <c r="J73" s="5" t="n">
        <v>480</v>
      </c>
      <c r="K73" s="5" t="n">
        <v>0</v>
      </c>
      <c r="L73" s="5" t="s">
        <v>81</v>
      </c>
      <c r="M73" s="5"/>
      <c r="N73" s="5" t="s">
        <v>57</v>
      </c>
      <c r="O73" s="5"/>
      <c r="P73" s="7" t="n">
        <f aca="false">I73*J73*(1-K73)</f>
        <v>960</v>
      </c>
      <c r="Q73" s="7" t="n">
        <f aca="false">INDEX(商品マスタ!$D:$D,MATCH(H73,商品マスタ!$A:$A,0))</f>
        <v>180</v>
      </c>
      <c r="R73" s="7" t="n">
        <f aca="false">P73-I73*Q73</f>
        <v>600</v>
      </c>
    </row>
    <row r="74" customFormat="false" ht="15" hidden="false" customHeight="true" outlineLevel="0" collapsed="false">
      <c r="A74" s="14" t="s">
        <v>217</v>
      </c>
      <c r="B74" s="15" t="n">
        <v>46030</v>
      </c>
      <c r="C74" s="5" t="s">
        <v>43</v>
      </c>
      <c r="D74" s="14" t="s">
        <v>70</v>
      </c>
      <c r="E74" s="5" t="s">
        <v>218</v>
      </c>
      <c r="F74" s="5" t="s">
        <v>61</v>
      </c>
      <c r="G74" s="5" t="s">
        <v>67</v>
      </c>
      <c r="H74" s="5" t="s">
        <v>88</v>
      </c>
      <c r="I74" s="5" t="n">
        <v>2</v>
      </c>
      <c r="J74" s="5" t="n">
        <v>2600</v>
      </c>
      <c r="K74" s="5" t="n">
        <v>0</v>
      </c>
      <c r="L74" s="5" t="s">
        <v>49</v>
      </c>
      <c r="M74" s="5"/>
      <c r="N74" s="5" t="s">
        <v>57</v>
      </c>
      <c r="O74" s="5"/>
      <c r="P74" s="7" t="n">
        <f aca="false">I74*J74*(1-K74)</f>
        <v>5200</v>
      </c>
      <c r="Q74" s="7" t="n">
        <f aca="false">INDEX(商品マスタ!$D:$D,MATCH(H74,商品マスタ!$A:$A,0))</f>
        <v>1150</v>
      </c>
      <c r="R74" s="7" t="n">
        <f aca="false">P74-I74*Q74</f>
        <v>2900</v>
      </c>
    </row>
    <row r="75" customFormat="false" ht="15" hidden="false" customHeight="true" outlineLevel="0" collapsed="false">
      <c r="A75" s="14" t="s">
        <v>219</v>
      </c>
      <c r="B75" s="15" t="n">
        <v>46031</v>
      </c>
      <c r="C75" s="5" t="s">
        <v>83</v>
      </c>
      <c r="D75" s="14" t="s">
        <v>70</v>
      </c>
      <c r="E75" s="5" t="s">
        <v>220</v>
      </c>
      <c r="F75" s="5" t="s">
        <v>61</v>
      </c>
      <c r="G75" s="5" t="s">
        <v>67</v>
      </c>
      <c r="H75" s="5" t="s">
        <v>68</v>
      </c>
      <c r="I75" s="5" t="n">
        <v>1</v>
      </c>
      <c r="J75" s="5" t="n">
        <v>1200</v>
      </c>
      <c r="K75" s="5" t="n">
        <v>0.05</v>
      </c>
      <c r="L75" s="14" t="s">
        <v>75</v>
      </c>
      <c r="M75" s="5"/>
      <c r="N75" s="5" t="s">
        <v>57</v>
      </c>
      <c r="O75" s="5"/>
      <c r="P75" s="7" t="n">
        <f aca="false">I75*J75*(1-K75)</f>
        <v>1140</v>
      </c>
      <c r="Q75" s="7" t="n">
        <f aca="false">INDEX(商品マスタ!$D:$D,MATCH(H75,商品マスタ!$A:$A,0))</f>
        <v>520</v>
      </c>
      <c r="R75" s="7" t="n">
        <f aca="false">P75-I75*Q75</f>
        <v>620</v>
      </c>
    </row>
    <row r="76" customFormat="false" ht="15" hidden="false" customHeight="true" outlineLevel="0" collapsed="false">
      <c r="A76" s="14" t="s">
        <v>221</v>
      </c>
      <c r="B76" s="15" t="n">
        <v>46025</v>
      </c>
      <c r="C76" s="5" t="s">
        <v>43</v>
      </c>
      <c r="D76" s="14" t="s">
        <v>70</v>
      </c>
      <c r="E76" s="5" t="s">
        <v>222</v>
      </c>
      <c r="F76" s="5" t="s">
        <v>61</v>
      </c>
      <c r="G76" s="5" t="s">
        <v>116</v>
      </c>
      <c r="H76" s="5" t="s">
        <v>174</v>
      </c>
      <c r="I76" s="5" t="n">
        <v>1</v>
      </c>
      <c r="J76" s="5" t="n">
        <v>5800</v>
      </c>
      <c r="K76" s="5" t="n">
        <v>0</v>
      </c>
      <c r="L76" s="14" t="s">
        <v>125</v>
      </c>
      <c r="M76" s="5" t="s">
        <v>50</v>
      </c>
      <c r="N76" s="5" t="s">
        <v>51</v>
      </c>
      <c r="O76" s="5"/>
      <c r="P76" s="7" t="n">
        <f aca="false">I76*J76*(1-K76)</f>
        <v>5800</v>
      </c>
      <c r="Q76" s="7" t="n">
        <f aca="false">INDEX(商品マスタ!$D:$D,MATCH(H76,商品マスタ!$A:$A,0))</f>
        <v>2900</v>
      </c>
      <c r="R76" s="7" t="n">
        <f aca="false">P76-I76*Q76</f>
        <v>2900</v>
      </c>
    </row>
    <row r="77" customFormat="false" ht="15" hidden="false" customHeight="true" outlineLevel="0" collapsed="false">
      <c r="A77" s="14" t="s">
        <v>223</v>
      </c>
      <c r="B77" s="15" t="n">
        <v>46043</v>
      </c>
      <c r="C77" s="5" t="s">
        <v>59</v>
      </c>
      <c r="D77" s="14" t="s">
        <v>70</v>
      </c>
      <c r="E77" s="5" t="s">
        <v>224</v>
      </c>
      <c r="F77" s="5" t="s">
        <v>61</v>
      </c>
      <c r="G77" s="5" t="s">
        <v>116</v>
      </c>
      <c r="H77" s="5" t="s">
        <v>174</v>
      </c>
      <c r="I77" s="5" t="n">
        <v>2</v>
      </c>
      <c r="J77" s="5" t="n">
        <v>5800</v>
      </c>
      <c r="K77" s="5" t="n">
        <v>0</v>
      </c>
      <c r="L77" s="5" t="s">
        <v>49</v>
      </c>
      <c r="M77" s="5"/>
      <c r="N77" s="5" t="s">
        <v>57</v>
      </c>
      <c r="O77" s="5"/>
      <c r="P77" s="7" t="n">
        <f aca="false">I77*J77*(1-K77)</f>
        <v>11600</v>
      </c>
      <c r="Q77" s="7" t="n">
        <f aca="false">INDEX(商品マスタ!$D:$D,MATCH(H77,商品マスタ!$A:$A,0))</f>
        <v>2900</v>
      </c>
      <c r="R77" s="7" t="n">
        <f aca="false">P77-I77*Q77</f>
        <v>5800</v>
      </c>
    </row>
    <row r="78" customFormat="false" ht="15" hidden="false" customHeight="true" outlineLevel="0" collapsed="false">
      <c r="A78" s="14" t="s">
        <v>225</v>
      </c>
      <c r="B78" s="15" t="n">
        <v>46034</v>
      </c>
      <c r="C78" s="5" t="s">
        <v>53</v>
      </c>
      <c r="D78" s="14" t="s">
        <v>70</v>
      </c>
      <c r="E78" s="5" t="s">
        <v>226</v>
      </c>
      <c r="F78" s="5"/>
      <c r="G78" s="5" t="s">
        <v>47</v>
      </c>
      <c r="H78" s="5" t="s">
        <v>74</v>
      </c>
      <c r="I78" s="5" t="n">
        <v>2</v>
      </c>
      <c r="J78" s="5" t="n">
        <v>880</v>
      </c>
      <c r="K78" s="5" t="n">
        <v>0</v>
      </c>
      <c r="L78" s="5" t="s">
        <v>49</v>
      </c>
      <c r="M78" s="5"/>
      <c r="N78" s="5" t="s">
        <v>57</v>
      </c>
      <c r="O78" s="5"/>
      <c r="P78" s="7" t="n">
        <f aca="false">I78*J78*(1-K78)</f>
        <v>1760</v>
      </c>
      <c r="Q78" s="7" t="n">
        <f aca="false">INDEX(商品マスタ!$D:$D,MATCH(H78,商品マスタ!$A:$A,0))</f>
        <v>360</v>
      </c>
      <c r="R78" s="7" t="n">
        <f aca="false">P78-I78*Q78</f>
        <v>1040</v>
      </c>
    </row>
    <row r="79" customFormat="false" ht="15" hidden="false" customHeight="true" outlineLevel="0" collapsed="false">
      <c r="A79" s="14" t="s">
        <v>227</v>
      </c>
      <c r="B79" s="15" t="n">
        <v>46038</v>
      </c>
      <c r="C79" s="5" t="s">
        <v>53</v>
      </c>
      <c r="D79" s="5" t="s">
        <v>44</v>
      </c>
      <c r="E79" s="5" t="s">
        <v>228</v>
      </c>
      <c r="F79" s="5" t="s">
        <v>79</v>
      </c>
      <c r="G79" s="5" t="s">
        <v>67</v>
      </c>
      <c r="H79" s="5" t="s">
        <v>179</v>
      </c>
      <c r="I79" s="5" t="n">
        <v>3</v>
      </c>
      <c r="J79" s="5" t="n">
        <v>1600</v>
      </c>
      <c r="K79" s="5" t="n">
        <v>0</v>
      </c>
      <c r="L79" s="14" t="s">
        <v>75</v>
      </c>
      <c r="M79" s="5"/>
      <c r="N79" s="5" t="s">
        <v>57</v>
      </c>
      <c r="O79" s="5"/>
      <c r="P79" s="7" t="n">
        <f aca="false">I79*J79*(1-K79)</f>
        <v>4800</v>
      </c>
      <c r="Q79" s="7" t="n">
        <f aca="false">INDEX(商品マスタ!$D:$D,MATCH(H79,商品マスタ!$A:$A,0))</f>
        <v>700</v>
      </c>
      <c r="R79" s="7" t="n">
        <f aca="false">P79-I79*Q79</f>
        <v>2700</v>
      </c>
    </row>
    <row r="80" customFormat="false" ht="15" hidden="false" customHeight="true" outlineLevel="0" collapsed="false">
      <c r="A80" s="14" t="s">
        <v>229</v>
      </c>
      <c r="B80" s="15" t="n">
        <v>46034</v>
      </c>
      <c r="C80" s="5" t="s">
        <v>53</v>
      </c>
      <c r="D80" s="5" t="s">
        <v>44</v>
      </c>
      <c r="E80" s="5" t="s">
        <v>230</v>
      </c>
      <c r="F80" s="5" t="s">
        <v>79</v>
      </c>
      <c r="G80" s="5" t="s">
        <v>47</v>
      </c>
      <c r="H80" s="5" t="s">
        <v>74</v>
      </c>
      <c r="I80" s="5" t="n">
        <v>1</v>
      </c>
      <c r="J80" s="5" t="n">
        <v>880</v>
      </c>
      <c r="K80" s="5" t="n">
        <v>0</v>
      </c>
      <c r="L80" s="5" t="s">
        <v>64</v>
      </c>
      <c r="M80" s="5"/>
      <c r="N80" s="5" t="s">
        <v>57</v>
      </c>
      <c r="O80" s="5"/>
      <c r="P80" s="7" t="n">
        <f aca="false">I80*J80*(1-K80)</f>
        <v>880</v>
      </c>
      <c r="Q80" s="7" t="n">
        <f aca="false">INDEX(商品マスタ!$D:$D,MATCH(H80,商品マスタ!$A:$A,0))</f>
        <v>360</v>
      </c>
      <c r="R80" s="7" t="n">
        <f aca="false">P80-I80*Q80</f>
        <v>520</v>
      </c>
    </row>
    <row r="81" customFormat="false" ht="15" hidden="false" customHeight="true" outlineLevel="0" collapsed="false">
      <c r="A81" s="14" t="s">
        <v>231</v>
      </c>
      <c r="B81" s="15" t="n">
        <v>46052</v>
      </c>
      <c r="C81" s="5" t="s">
        <v>83</v>
      </c>
      <c r="D81" s="5" t="s">
        <v>44</v>
      </c>
      <c r="E81" s="5" t="s">
        <v>232</v>
      </c>
      <c r="F81" s="5" t="s">
        <v>79</v>
      </c>
      <c r="G81" s="5" t="s">
        <v>62</v>
      </c>
      <c r="H81" s="5" t="s">
        <v>80</v>
      </c>
      <c r="I81" s="5" t="n">
        <v>1</v>
      </c>
      <c r="J81" s="5" t="n">
        <v>2800</v>
      </c>
      <c r="K81" s="5" t="n">
        <v>0</v>
      </c>
      <c r="L81" s="5" t="s">
        <v>81</v>
      </c>
      <c r="M81" s="5"/>
      <c r="N81" s="5" t="s">
        <v>57</v>
      </c>
      <c r="O81" s="5"/>
      <c r="P81" s="7" t="n">
        <f aca="false">I81*J81*(1-K81)</f>
        <v>2800</v>
      </c>
      <c r="Q81" s="7" t="n">
        <f aca="false">INDEX(商品マスタ!$D:$D,MATCH(H81,商品マスタ!$A:$A,0))</f>
        <v>1400</v>
      </c>
      <c r="R81" s="7" t="n">
        <f aca="false">P81-I81*Q81</f>
        <v>1400</v>
      </c>
    </row>
    <row r="82" customFormat="false" ht="15" hidden="false" customHeight="true" outlineLevel="0" collapsed="false">
      <c r="A82" s="14" t="s">
        <v>233</v>
      </c>
      <c r="B82" s="15" t="n">
        <v>46044</v>
      </c>
      <c r="C82" s="5" t="s">
        <v>53</v>
      </c>
      <c r="D82" s="5" t="s">
        <v>44</v>
      </c>
      <c r="E82" s="5" t="s">
        <v>234</v>
      </c>
      <c r="F82" s="5" t="s">
        <v>46</v>
      </c>
      <c r="G82" s="5" t="s">
        <v>62</v>
      </c>
      <c r="H82" s="5" t="s">
        <v>80</v>
      </c>
      <c r="I82" s="5" t="n">
        <v>10</v>
      </c>
      <c r="J82" s="5" t="n">
        <v>2800</v>
      </c>
      <c r="K82" s="5" t="n">
        <v>0.05</v>
      </c>
      <c r="L82" s="5" t="s">
        <v>49</v>
      </c>
      <c r="M82" s="5"/>
      <c r="N82" s="5" t="s">
        <v>57</v>
      </c>
      <c r="O82" s="5"/>
      <c r="P82" s="7" t="n">
        <f aca="false">I82*J82*(1-K82)</f>
        <v>26600</v>
      </c>
      <c r="Q82" s="7" t="n">
        <f aca="false">INDEX(商品マスタ!$D:$D,MATCH(H82,商品マスタ!$A:$A,0))</f>
        <v>1400</v>
      </c>
      <c r="R82" s="7" t="n">
        <f aca="false">P82-I82*Q82</f>
        <v>12600</v>
      </c>
    </row>
    <row r="83" customFormat="false" ht="15" hidden="false" customHeight="true" outlineLevel="0" collapsed="false">
      <c r="A83" s="14" t="s">
        <v>235</v>
      </c>
      <c r="B83" s="15" t="n">
        <v>46023</v>
      </c>
      <c r="C83" s="5" t="s">
        <v>77</v>
      </c>
      <c r="D83" s="14" t="s">
        <v>70</v>
      </c>
      <c r="E83" s="5" t="s">
        <v>236</v>
      </c>
      <c r="F83" s="5" t="s">
        <v>79</v>
      </c>
      <c r="G83" s="5" t="s">
        <v>116</v>
      </c>
      <c r="H83" s="5" t="s">
        <v>117</v>
      </c>
      <c r="I83" s="5" t="n">
        <v>3</v>
      </c>
      <c r="J83" s="5" t="n">
        <v>1800</v>
      </c>
      <c r="K83" s="5" t="n">
        <v>0.1</v>
      </c>
      <c r="L83" s="14" t="s">
        <v>125</v>
      </c>
      <c r="M83" s="5"/>
      <c r="N83" s="5" t="s">
        <v>57</v>
      </c>
      <c r="O83" s="5"/>
      <c r="P83" s="7" t="n">
        <f aca="false">I83*J83*(1-K83)</f>
        <v>4860</v>
      </c>
      <c r="Q83" s="7" t="n">
        <f aca="false">INDEX(商品マスタ!$D:$D,MATCH(H83,商品マスタ!$A:$A,0))</f>
        <v>760</v>
      </c>
      <c r="R83" s="7" t="n">
        <f aca="false">P83-I83*Q83</f>
        <v>2580</v>
      </c>
    </row>
    <row r="84" customFormat="false" ht="15" hidden="false" customHeight="true" outlineLevel="0" collapsed="false">
      <c r="A84" s="14" t="s">
        <v>237</v>
      </c>
      <c r="B84" s="15" t="n">
        <v>46052</v>
      </c>
      <c r="C84" s="5" t="s">
        <v>43</v>
      </c>
      <c r="D84" s="5" t="s">
        <v>44</v>
      </c>
      <c r="E84" s="5" t="s">
        <v>238</v>
      </c>
      <c r="F84" s="5" t="s">
        <v>61</v>
      </c>
      <c r="G84" s="5" t="s">
        <v>116</v>
      </c>
      <c r="H84" s="5" t="s">
        <v>117</v>
      </c>
      <c r="I84" s="5" t="n">
        <v>3</v>
      </c>
      <c r="J84" s="16" t="n">
        <v>1800</v>
      </c>
      <c r="K84" s="5" t="n">
        <v>0</v>
      </c>
      <c r="L84" s="5" t="s">
        <v>49</v>
      </c>
      <c r="M84" s="5"/>
      <c r="N84" s="5" t="s">
        <v>57</v>
      </c>
      <c r="O84" s="5" t="s">
        <v>159</v>
      </c>
      <c r="P84" s="7" t="n">
        <f aca="false">I84*J84*(1-K84)</f>
        <v>5400</v>
      </c>
      <c r="Q84" s="7" t="n">
        <f aca="false">INDEX(商品マスタ!$D:$D,MATCH(H84,商品マスタ!$A:$A,0))</f>
        <v>760</v>
      </c>
      <c r="R84" s="7" t="n">
        <f aca="false">P84-I84*Q84</f>
        <v>3120</v>
      </c>
    </row>
    <row r="85" customFormat="false" ht="15" hidden="false" customHeight="true" outlineLevel="0" collapsed="false">
      <c r="A85" s="14" t="s">
        <v>239</v>
      </c>
      <c r="B85" s="15" t="n">
        <v>46034</v>
      </c>
      <c r="C85" s="5" t="s">
        <v>59</v>
      </c>
      <c r="D85" s="14" t="s">
        <v>70</v>
      </c>
      <c r="E85" s="5" t="s">
        <v>240</v>
      </c>
      <c r="F85" s="5"/>
      <c r="G85" s="5" t="s">
        <v>47</v>
      </c>
      <c r="H85" s="5" t="s">
        <v>74</v>
      </c>
      <c r="I85" s="5" t="n">
        <v>2</v>
      </c>
      <c r="J85" s="5" t="n">
        <v>880</v>
      </c>
      <c r="K85" s="5" t="n">
        <v>0</v>
      </c>
      <c r="L85" s="14" t="s">
        <v>125</v>
      </c>
      <c r="M85" s="5"/>
      <c r="N85" s="5" t="s">
        <v>57</v>
      </c>
      <c r="O85" s="5"/>
      <c r="P85" s="7" t="n">
        <f aca="false">I85*J85*(1-K85)</f>
        <v>1760</v>
      </c>
      <c r="Q85" s="7" t="n">
        <f aca="false">INDEX(商品マスタ!$D:$D,MATCH(H85,商品マスタ!$A:$A,0))</f>
        <v>360</v>
      </c>
      <c r="R85" s="7" t="n">
        <f aca="false">P85-I85*Q85</f>
        <v>1040</v>
      </c>
    </row>
    <row r="86" customFormat="false" ht="15" hidden="false" customHeight="true" outlineLevel="0" collapsed="false">
      <c r="A86" s="14" t="s">
        <v>241</v>
      </c>
      <c r="B86" s="15" t="n">
        <v>46047</v>
      </c>
      <c r="C86" s="5" t="s">
        <v>59</v>
      </c>
      <c r="D86" s="5" t="s">
        <v>44</v>
      </c>
      <c r="E86" s="5" t="s">
        <v>242</v>
      </c>
      <c r="F86" s="5"/>
      <c r="G86" s="5" t="s">
        <v>67</v>
      </c>
      <c r="H86" s="5" t="s">
        <v>179</v>
      </c>
      <c r="I86" s="5" t="n">
        <v>3</v>
      </c>
      <c r="J86" s="5" t="n">
        <v>1600</v>
      </c>
      <c r="K86" s="5" t="n">
        <v>0.1</v>
      </c>
      <c r="L86" s="14" t="s">
        <v>75</v>
      </c>
      <c r="M86" s="5"/>
      <c r="N86" s="5" t="s">
        <v>57</v>
      </c>
      <c r="O86" s="5"/>
      <c r="P86" s="7" t="n">
        <f aca="false">I86*J86*(1-K86)</f>
        <v>4320</v>
      </c>
      <c r="Q86" s="7" t="n">
        <f aca="false">INDEX(商品マスタ!$D:$D,MATCH(H86,商品マスタ!$A:$A,0))</f>
        <v>700</v>
      </c>
      <c r="R86" s="7" t="n">
        <f aca="false">P86-I86*Q86</f>
        <v>2220</v>
      </c>
    </row>
    <row r="87" customFormat="false" ht="15" hidden="false" customHeight="true" outlineLevel="0" collapsed="false">
      <c r="A87" s="14" t="s">
        <v>243</v>
      </c>
      <c r="B87" s="15" t="n">
        <v>46025</v>
      </c>
      <c r="C87" s="5" t="s">
        <v>59</v>
      </c>
      <c r="D87" s="14" t="s">
        <v>70</v>
      </c>
      <c r="E87" s="5" t="s">
        <v>244</v>
      </c>
      <c r="F87" s="5" t="s">
        <v>61</v>
      </c>
      <c r="G87" s="5" t="s">
        <v>116</v>
      </c>
      <c r="H87" s="5" t="s">
        <v>117</v>
      </c>
      <c r="I87" s="5" t="n">
        <v>2</v>
      </c>
      <c r="J87" s="5" t="n">
        <v>1800</v>
      </c>
      <c r="K87" s="5" t="n">
        <v>0</v>
      </c>
      <c r="L87" s="14" t="s">
        <v>125</v>
      </c>
      <c r="M87" s="5"/>
      <c r="N87" s="5" t="s">
        <v>57</v>
      </c>
      <c r="O87" s="5"/>
      <c r="P87" s="7" t="n">
        <f aca="false">I87*J87*(1-K87)</f>
        <v>3600</v>
      </c>
      <c r="Q87" s="7" t="n">
        <f aca="false">INDEX(商品マスタ!$D:$D,MATCH(H87,商品マスタ!$A:$A,0))</f>
        <v>760</v>
      </c>
      <c r="R87" s="7" t="n">
        <f aca="false">P87-I87*Q87</f>
        <v>2080</v>
      </c>
    </row>
    <row r="88" customFormat="false" ht="15" hidden="false" customHeight="true" outlineLevel="0" collapsed="false">
      <c r="A88" s="14" t="s">
        <v>245</v>
      </c>
      <c r="B88" s="15" t="n">
        <v>46052</v>
      </c>
      <c r="C88" s="5" t="s">
        <v>43</v>
      </c>
      <c r="D88" s="14" t="s">
        <v>70</v>
      </c>
      <c r="E88" s="5" t="s">
        <v>246</v>
      </c>
      <c r="F88" s="5" t="s">
        <v>79</v>
      </c>
      <c r="G88" s="5" t="s">
        <v>47</v>
      </c>
      <c r="H88" s="5" t="s">
        <v>55</v>
      </c>
      <c r="I88" s="5" t="n">
        <v>3</v>
      </c>
      <c r="J88" s="5" t="n">
        <v>1500</v>
      </c>
      <c r="K88" s="5" t="n">
        <v>0.05</v>
      </c>
      <c r="L88" s="14" t="s">
        <v>75</v>
      </c>
      <c r="M88" s="5"/>
      <c r="N88" s="5" t="s">
        <v>57</v>
      </c>
      <c r="O88" s="5"/>
      <c r="P88" s="7" t="n">
        <f aca="false">I88*J88*(1-K88)</f>
        <v>4275</v>
      </c>
      <c r="Q88" s="7" t="n">
        <f aca="false">INDEX(商品マスタ!$D:$D,MATCH(H88,商品マスタ!$A:$A,0))</f>
        <v>680</v>
      </c>
      <c r="R88" s="7" t="n">
        <f aca="false">P88-I88*Q88</f>
        <v>2235</v>
      </c>
    </row>
    <row r="89" customFormat="false" ht="15" hidden="false" customHeight="true" outlineLevel="0" collapsed="false">
      <c r="A89" s="14" t="s">
        <v>247</v>
      </c>
      <c r="B89" s="15" t="n">
        <v>46052</v>
      </c>
      <c r="C89" s="5" t="s">
        <v>77</v>
      </c>
      <c r="D89" s="5" t="s">
        <v>44</v>
      </c>
      <c r="E89" s="5" t="s">
        <v>248</v>
      </c>
      <c r="F89" s="5"/>
      <c r="G89" s="5" t="s">
        <v>67</v>
      </c>
      <c r="H89" s="5" t="s">
        <v>106</v>
      </c>
      <c r="I89" s="5" t="n">
        <v>1</v>
      </c>
      <c r="J89" s="5" t="n">
        <v>1400</v>
      </c>
      <c r="K89" s="5" t="n">
        <v>0</v>
      </c>
      <c r="L89" s="5" t="s">
        <v>81</v>
      </c>
      <c r="M89" s="5"/>
      <c r="N89" s="5" t="s">
        <v>57</v>
      </c>
      <c r="O89" s="5"/>
      <c r="P89" s="7" t="n">
        <f aca="false">I89*J89*(1-K89)</f>
        <v>1400</v>
      </c>
      <c r="Q89" s="7" t="n">
        <f aca="false">INDEX(商品マスタ!$D:$D,MATCH(H89,商品マスタ!$A:$A,0))</f>
        <v>610</v>
      </c>
      <c r="R89" s="7" t="n">
        <f aca="false">P89-I89*Q89</f>
        <v>790</v>
      </c>
    </row>
    <row r="90" customFormat="false" ht="15" hidden="false" customHeight="true" outlineLevel="0" collapsed="false">
      <c r="A90" s="14" t="s">
        <v>249</v>
      </c>
      <c r="B90" s="15" t="n">
        <v>46023</v>
      </c>
      <c r="C90" s="5" t="s">
        <v>53</v>
      </c>
      <c r="D90" s="5" t="s">
        <v>44</v>
      </c>
      <c r="E90" s="5" t="s">
        <v>250</v>
      </c>
      <c r="F90" s="5"/>
      <c r="G90" s="5" t="s">
        <v>62</v>
      </c>
      <c r="H90" s="5" t="s">
        <v>93</v>
      </c>
      <c r="I90" s="5" t="n">
        <v>1</v>
      </c>
      <c r="J90" s="5" t="n">
        <v>9800</v>
      </c>
      <c r="K90" s="5" t="n">
        <v>0</v>
      </c>
      <c r="L90" s="5" t="s">
        <v>81</v>
      </c>
      <c r="M90" s="5"/>
      <c r="N90" s="5" t="s">
        <v>57</v>
      </c>
      <c r="O90" s="5"/>
      <c r="P90" s="7" t="n">
        <f aca="false">I90*J90*(1-K90)</f>
        <v>9800</v>
      </c>
      <c r="Q90" s="7" t="n">
        <f aca="false">INDEX(商品マスタ!$D:$D,MATCH(H90,商品マスタ!$A:$A,0))</f>
        <v>5400</v>
      </c>
      <c r="R90" s="7" t="n">
        <f aca="false">P90-I90*Q90</f>
        <v>4400</v>
      </c>
    </row>
    <row r="91" customFormat="false" ht="15" hidden="false" customHeight="true" outlineLevel="0" collapsed="false">
      <c r="A91" s="14" t="s">
        <v>251</v>
      </c>
      <c r="B91" s="15" t="n">
        <v>46052</v>
      </c>
      <c r="C91" s="5" t="s">
        <v>53</v>
      </c>
      <c r="D91" s="5" t="s">
        <v>44</v>
      </c>
      <c r="E91" s="5" t="s">
        <v>252</v>
      </c>
      <c r="F91" s="5"/>
      <c r="G91" s="5" t="s">
        <v>47</v>
      </c>
      <c r="H91" s="5" t="s">
        <v>55</v>
      </c>
      <c r="I91" s="5" t="n">
        <v>3</v>
      </c>
      <c r="J91" s="5" t="n">
        <v>1500</v>
      </c>
      <c r="K91" s="5" t="n">
        <v>0.1</v>
      </c>
      <c r="L91" s="14" t="s">
        <v>75</v>
      </c>
      <c r="M91" s="5"/>
      <c r="N91" s="5" t="s">
        <v>57</v>
      </c>
      <c r="O91" s="5"/>
      <c r="P91" s="7" t="n">
        <f aca="false">I91*J91*(1-K91)</f>
        <v>4050</v>
      </c>
      <c r="Q91" s="7" t="n">
        <f aca="false">INDEX(商品マスタ!$D:$D,MATCH(H91,商品マスタ!$A:$A,0))</f>
        <v>680</v>
      </c>
      <c r="R91" s="7" t="n">
        <f aca="false">P91-I91*Q91</f>
        <v>2010</v>
      </c>
    </row>
    <row r="92" customFormat="false" ht="15" hidden="false" customHeight="true" outlineLevel="0" collapsed="false">
      <c r="A92" s="14" t="s">
        <v>253</v>
      </c>
      <c r="B92" s="15" t="n">
        <v>46052</v>
      </c>
      <c r="C92" s="5" t="s">
        <v>59</v>
      </c>
      <c r="D92" s="14" t="s">
        <v>70</v>
      </c>
      <c r="E92" s="5" t="s">
        <v>254</v>
      </c>
      <c r="F92" s="5" t="s">
        <v>61</v>
      </c>
      <c r="G92" s="5" t="s">
        <v>116</v>
      </c>
      <c r="H92" s="5" t="s">
        <v>117</v>
      </c>
      <c r="I92" s="5" t="n">
        <v>2</v>
      </c>
      <c r="J92" s="5" t="n">
        <v>1800</v>
      </c>
      <c r="K92" s="5" t="n">
        <v>0.05</v>
      </c>
      <c r="L92" s="5" t="s">
        <v>49</v>
      </c>
      <c r="M92" s="5"/>
      <c r="N92" s="5" t="s">
        <v>57</v>
      </c>
      <c r="O92" s="5"/>
      <c r="P92" s="7" t="n">
        <f aca="false">I92*J92*(1-K92)</f>
        <v>3420</v>
      </c>
      <c r="Q92" s="7" t="n">
        <f aca="false">INDEX(商品マスタ!$D:$D,MATCH(H92,商品マスタ!$A:$A,0))</f>
        <v>760</v>
      </c>
      <c r="R92" s="7" t="n">
        <f aca="false">P92-I92*Q92</f>
        <v>1900</v>
      </c>
    </row>
    <row r="93" customFormat="false" ht="15" hidden="false" customHeight="true" outlineLevel="0" collapsed="false">
      <c r="A93" s="14" t="s">
        <v>255</v>
      </c>
      <c r="B93" s="15" t="n">
        <v>46035</v>
      </c>
      <c r="C93" s="5" t="s">
        <v>83</v>
      </c>
      <c r="D93" s="5" t="s">
        <v>44</v>
      </c>
      <c r="E93" s="5" t="s">
        <v>256</v>
      </c>
      <c r="F93" s="5" t="s">
        <v>79</v>
      </c>
      <c r="G93" s="5" t="s">
        <v>116</v>
      </c>
      <c r="H93" s="5" t="s">
        <v>174</v>
      </c>
      <c r="I93" s="5" t="n">
        <v>2</v>
      </c>
      <c r="J93" s="5" t="n">
        <v>5800</v>
      </c>
      <c r="K93" s="5" t="n">
        <v>0.1</v>
      </c>
      <c r="L93" s="14" t="s">
        <v>125</v>
      </c>
      <c r="M93" s="5"/>
      <c r="N93" s="5" t="s">
        <v>57</v>
      </c>
      <c r="O93" s="5"/>
      <c r="P93" s="7" t="n">
        <f aca="false">I93*J93*(1-K93)</f>
        <v>10440</v>
      </c>
      <c r="Q93" s="7" t="n">
        <f aca="false">INDEX(商品マスタ!$D:$D,MATCH(H93,商品マスタ!$A:$A,0))</f>
        <v>2900</v>
      </c>
      <c r="R93" s="7" t="n">
        <f aca="false">P93-I93*Q93</f>
        <v>4640</v>
      </c>
    </row>
    <row r="94" customFormat="false" ht="15" hidden="false" customHeight="true" outlineLevel="0" collapsed="false">
      <c r="A94" s="14" t="s">
        <v>257</v>
      </c>
      <c r="B94" s="15" t="n">
        <v>46029</v>
      </c>
      <c r="C94" s="5" t="s">
        <v>43</v>
      </c>
      <c r="D94" s="14" t="s">
        <v>70</v>
      </c>
      <c r="E94" s="5" t="s">
        <v>258</v>
      </c>
      <c r="F94" s="5" t="s">
        <v>61</v>
      </c>
      <c r="G94" s="5" t="s">
        <v>62</v>
      </c>
      <c r="H94" s="5" t="s">
        <v>93</v>
      </c>
      <c r="I94" s="5" t="n">
        <v>2</v>
      </c>
      <c r="J94" s="5" t="n">
        <v>9800</v>
      </c>
      <c r="K94" s="5" t="n">
        <v>0</v>
      </c>
      <c r="L94" s="5" t="s">
        <v>56</v>
      </c>
      <c r="M94" s="5"/>
      <c r="N94" s="5" t="s">
        <v>57</v>
      </c>
      <c r="O94" s="5"/>
      <c r="P94" s="7" t="n">
        <f aca="false">I94*J94*(1-K94)</f>
        <v>19600</v>
      </c>
      <c r="Q94" s="7" t="n">
        <f aca="false">INDEX(商品マスタ!$D:$D,MATCH(H94,商品マスタ!$A:$A,0))</f>
        <v>5400</v>
      </c>
      <c r="R94" s="7" t="n">
        <f aca="false">P94-I94*Q94</f>
        <v>8800</v>
      </c>
    </row>
    <row r="95" customFormat="false" ht="15" hidden="false" customHeight="true" outlineLevel="0" collapsed="false">
      <c r="A95" s="14" t="s">
        <v>259</v>
      </c>
      <c r="B95" s="15" t="n">
        <v>46052</v>
      </c>
      <c r="C95" s="5" t="s">
        <v>59</v>
      </c>
      <c r="D95" s="14" t="s">
        <v>70</v>
      </c>
      <c r="E95" s="5" t="s">
        <v>97</v>
      </c>
      <c r="F95" s="5" t="s">
        <v>61</v>
      </c>
      <c r="G95" s="5" t="s">
        <v>62</v>
      </c>
      <c r="H95" s="5" t="s">
        <v>85</v>
      </c>
      <c r="I95" s="5" t="n">
        <v>1</v>
      </c>
      <c r="J95" s="5" t="n">
        <v>3200</v>
      </c>
      <c r="K95" s="5" t="n">
        <v>0</v>
      </c>
      <c r="L95" s="5" t="s">
        <v>81</v>
      </c>
      <c r="M95" s="5"/>
      <c r="N95" s="5" t="s">
        <v>57</v>
      </c>
      <c r="O95" s="5"/>
      <c r="P95" s="7" t="n">
        <f aca="false">I95*J95*(1-K95)</f>
        <v>3200</v>
      </c>
      <c r="Q95" s="7" t="n">
        <f aca="false">INDEX(商品マスタ!$D:$D,MATCH(H95,商品マスタ!$A:$A,0))</f>
        <v>1600</v>
      </c>
      <c r="R95" s="7" t="n">
        <f aca="false">P95-I95*Q95</f>
        <v>1600</v>
      </c>
    </row>
    <row r="96" customFormat="false" ht="15" hidden="false" customHeight="true" outlineLevel="0" collapsed="false">
      <c r="A96" s="14" t="s">
        <v>260</v>
      </c>
      <c r="B96" s="15" t="n">
        <v>46041</v>
      </c>
      <c r="C96" s="5" t="s">
        <v>43</v>
      </c>
      <c r="D96" s="5" t="s">
        <v>44</v>
      </c>
      <c r="E96" s="5" t="s">
        <v>261</v>
      </c>
      <c r="F96" s="5" t="s">
        <v>79</v>
      </c>
      <c r="G96" s="5" t="s">
        <v>116</v>
      </c>
      <c r="H96" s="5" t="s">
        <v>120</v>
      </c>
      <c r="I96" s="5" t="n">
        <v>3</v>
      </c>
      <c r="J96" s="5" t="n">
        <v>3800</v>
      </c>
      <c r="K96" s="5" t="n">
        <v>0</v>
      </c>
      <c r="L96" s="14" t="s">
        <v>125</v>
      </c>
      <c r="M96" s="5"/>
      <c r="N96" s="5" t="s">
        <v>57</v>
      </c>
      <c r="O96" s="5"/>
      <c r="P96" s="7" t="n">
        <f aca="false">I96*J96*(1-K96)</f>
        <v>11400</v>
      </c>
      <c r="Q96" s="7" t="n">
        <f aca="false">INDEX(商品マスタ!$D:$D,MATCH(H96,商品マスタ!$A:$A,0))</f>
        <v>1900</v>
      </c>
      <c r="R96" s="7" t="n">
        <f aca="false">P96-I96*Q96</f>
        <v>5700</v>
      </c>
    </row>
    <row r="97" customFormat="false" ht="15" hidden="false" customHeight="true" outlineLevel="0" collapsed="false">
      <c r="A97" s="14" t="s">
        <v>262</v>
      </c>
      <c r="B97" s="15" t="n">
        <v>46041</v>
      </c>
      <c r="C97" s="5" t="s">
        <v>59</v>
      </c>
      <c r="D97" s="14" t="s">
        <v>70</v>
      </c>
      <c r="E97" s="5" t="s">
        <v>263</v>
      </c>
      <c r="F97" s="5" t="s">
        <v>79</v>
      </c>
      <c r="G97" s="5" t="s">
        <v>62</v>
      </c>
      <c r="H97" s="5" t="s">
        <v>80</v>
      </c>
      <c r="I97" s="5" t="n">
        <v>3</v>
      </c>
      <c r="J97" s="5" t="n">
        <v>2800</v>
      </c>
      <c r="K97" s="5" t="n">
        <v>0</v>
      </c>
      <c r="L97" s="5" t="s">
        <v>49</v>
      </c>
      <c r="M97" s="5"/>
      <c r="N97" s="5" t="s">
        <v>57</v>
      </c>
      <c r="O97" s="5"/>
      <c r="P97" s="7" t="n">
        <f aca="false">I97*J97*(1-K97)</f>
        <v>8400</v>
      </c>
      <c r="Q97" s="7" t="n">
        <f aca="false">INDEX(商品マスタ!$D:$D,MATCH(H97,商品マスタ!$A:$A,0))</f>
        <v>1400</v>
      </c>
      <c r="R97" s="7" t="n">
        <f aca="false">P97-I97*Q97</f>
        <v>4200</v>
      </c>
    </row>
    <row r="98" customFormat="false" ht="15" hidden="false" customHeight="true" outlineLevel="0" collapsed="false">
      <c r="A98" s="14" t="s">
        <v>264</v>
      </c>
      <c r="B98" s="15" t="n">
        <v>46045</v>
      </c>
      <c r="C98" s="5" t="s">
        <v>83</v>
      </c>
      <c r="D98" s="5" t="s">
        <v>44</v>
      </c>
      <c r="E98" s="5" t="s">
        <v>265</v>
      </c>
      <c r="F98" s="5" t="s">
        <v>61</v>
      </c>
      <c r="G98" s="5" t="s">
        <v>67</v>
      </c>
      <c r="H98" s="5" t="s">
        <v>88</v>
      </c>
      <c r="I98" s="5" t="n">
        <v>2</v>
      </c>
      <c r="J98" s="5" t="n">
        <v>2600</v>
      </c>
      <c r="K98" s="5" t="n">
        <v>0.05</v>
      </c>
      <c r="L98" s="14" t="s">
        <v>75</v>
      </c>
      <c r="M98" s="5"/>
      <c r="N98" s="5" t="s">
        <v>57</v>
      </c>
      <c r="O98" s="5"/>
      <c r="P98" s="7" t="n">
        <f aca="false">I98*J98*(1-K98)</f>
        <v>4940</v>
      </c>
      <c r="Q98" s="7" t="n">
        <f aca="false">INDEX(商品マスタ!$D:$D,MATCH(H98,商品マスタ!$A:$A,0))</f>
        <v>1150</v>
      </c>
      <c r="R98" s="7" t="n">
        <f aca="false">P98-I98*Q98</f>
        <v>2640</v>
      </c>
    </row>
    <row r="99" customFormat="false" ht="15" hidden="false" customHeight="true" outlineLevel="0" collapsed="false">
      <c r="A99" s="14" t="s">
        <v>266</v>
      </c>
      <c r="B99" s="15" t="n">
        <v>46046</v>
      </c>
      <c r="C99" s="5" t="s">
        <v>77</v>
      </c>
      <c r="D99" s="5" t="s">
        <v>44</v>
      </c>
      <c r="E99" s="5" t="s">
        <v>267</v>
      </c>
      <c r="F99" s="5" t="s">
        <v>79</v>
      </c>
      <c r="G99" s="5" t="s">
        <v>47</v>
      </c>
      <c r="H99" s="5" t="s">
        <v>48</v>
      </c>
      <c r="I99" s="5" t="n">
        <v>2</v>
      </c>
      <c r="J99" s="5" t="n">
        <v>980</v>
      </c>
      <c r="K99" s="5" t="n">
        <v>0</v>
      </c>
      <c r="L99" s="5" t="s">
        <v>81</v>
      </c>
      <c r="M99" s="5"/>
      <c r="N99" s="5" t="s">
        <v>57</v>
      </c>
      <c r="O99" s="5"/>
      <c r="P99" s="7" t="n">
        <f aca="false">I99*J99*(1-K99)</f>
        <v>1960</v>
      </c>
      <c r="Q99" s="7" t="n">
        <f aca="false">INDEX(商品マスタ!$D:$D,MATCH(H99,商品マスタ!$A:$A,0))</f>
        <v>420</v>
      </c>
      <c r="R99" s="7" t="n">
        <f aca="false">P99-I99*Q99</f>
        <v>1120</v>
      </c>
    </row>
    <row r="100" customFormat="false" ht="15" hidden="false" customHeight="true" outlineLevel="0" collapsed="false">
      <c r="A100" s="14" t="s">
        <v>268</v>
      </c>
      <c r="B100" s="15" t="n">
        <v>46034</v>
      </c>
      <c r="C100" s="5" t="s">
        <v>83</v>
      </c>
      <c r="D100" s="5" t="s">
        <v>44</v>
      </c>
      <c r="E100" s="5" t="s">
        <v>269</v>
      </c>
      <c r="F100" s="5" t="s">
        <v>79</v>
      </c>
      <c r="G100" s="5" t="s">
        <v>116</v>
      </c>
      <c r="H100" s="5" t="s">
        <v>120</v>
      </c>
      <c r="I100" s="5" t="n">
        <v>2</v>
      </c>
      <c r="J100" s="5" t="n">
        <v>3800</v>
      </c>
      <c r="K100" s="5" t="n">
        <v>0</v>
      </c>
      <c r="L100" s="14" t="s">
        <v>75</v>
      </c>
      <c r="M100" s="5"/>
      <c r="N100" s="5" t="s">
        <v>57</v>
      </c>
      <c r="O100" s="5"/>
      <c r="P100" s="7" t="n">
        <f aca="false">I100*J100*(1-K100)</f>
        <v>7600</v>
      </c>
      <c r="Q100" s="7" t="n">
        <f aca="false">INDEX(商品マスタ!$D:$D,MATCH(H100,商品マスタ!$A:$A,0))</f>
        <v>1900</v>
      </c>
      <c r="R100" s="7" t="n">
        <f aca="false">P100-I100*Q100</f>
        <v>3800</v>
      </c>
    </row>
    <row r="101" customFormat="false" ht="15" hidden="false" customHeight="true" outlineLevel="0" collapsed="false">
      <c r="A101" s="14" t="s">
        <v>270</v>
      </c>
      <c r="B101" s="15" t="n">
        <v>46035</v>
      </c>
      <c r="C101" s="5" t="s">
        <v>43</v>
      </c>
      <c r="D101" s="5" t="s">
        <v>44</v>
      </c>
      <c r="E101" s="5" t="s">
        <v>271</v>
      </c>
      <c r="F101" s="5" t="s">
        <v>79</v>
      </c>
      <c r="G101" s="5" t="s">
        <v>47</v>
      </c>
      <c r="H101" s="5" t="s">
        <v>74</v>
      </c>
      <c r="I101" s="5" t="n">
        <v>1</v>
      </c>
      <c r="J101" s="5" t="n">
        <v>880</v>
      </c>
      <c r="K101" s="5" t="n">
        <v>0</v>
      </c>
      <c r="L101" s="5" t="s">
        <v>56</v>
      </c>
      <c r="M101" s="5"/>
      <c r="N101" s="5" t="s">
        <v>57</v>
      </c>
      <c r="O101" s="5"/>
      <c r="P101" s="7" t="n">
        <f aca="false">I101*J101*(1-K101)</f>
        <v>880</v>
      </c>
      <c r="Q101" s="7" t="n">
        <f aca="false">INDEX(商品マスタ!$D:$D,MATCH(H101,商品マスタ!$A:$A,0))</f>
        <v>360</v>
      </c>
      <c r="R101" s="7" t="n">
        <f aca="false">P101-I101*Q101</f>
        <v>520</v>
      </c>
    </row>
    <row r="102" customFormat="false" ht="15" hidden="false" customHeight="true" outlineLevel="0" collapsed="false">
      <c r="A102" s="14" t="s">
        <v>272</v>
      </c>
      <c r="B102" s="15" t="n">
        <v>46042</v>
      </c>
      <c r="C102" s="5" t="s">
        <v>59</v>
      </c>
      <c r="D102" s="14" t="s">
        <v>70</v>
      </c>
      <c r="E102" s="5" t="s">
        <v>273</v>
      </c>
      <c r="F102" s="5" t="s">
        <v>79</v>
      </c>
      <c r="G102" s="5" t="s">
        <v>62</v>
      </c>
      <c r="H102" s="5" t="s">
        <v>80</v>
      </c>
      <c r="I102" s="5" t="n">
        <v>3</v>
      </c>
      <c r="J102" s="5" t="n">
        <v>2800</v>
      </c>
      <c r="K102" s="5" t="n">
        <v>0</v>
      </c>
      <c r="L102" s="14" t="s">
        <v>75</v>
      </c>
      <c r="M102" s="5"/>
      <c r="N102" s="5" t="s">
        <v>57</v>
      </c>
      <c r="O102" s="5"/>
      <c r="P102" s="7" t="n">
        <f aca="false">I102*J102*(1-K102)</f>
        <v>8400</v>
      </c>
      <c r="Q102" s="7" t="n">
        <f aca="false">INDEX(商品マスタ!$D:$D,MATCH(H102,商品マスタ!$A:$A,0))</f>
        <v>1400</v>
      </c>
      <c r="R102" s="7" t="n">
        <f aca="false">P102-I102*Q102</f>
        <v>4200</v>
      </c>
    </row>
    <row r="103" customFormat="false" ht="15" hidden="false" customHeight="true" outlineLevel="0" collapsed="false">
      <c r="A103" s="14" t="s">
        <v>274</v>
      </c>
      <c r="B103" s="15" t="n">
        <v>46045</v>
      </c>
      <c r="C103" s="5" t="s">
        <v>43</v>
      </c>
      <c r="D103" s="5" t="s">
        <v>44</v>
      </c>
      <c r="E103" s="5" t="s">
        <v>275</v>
      </c>
      <c r="F103" s="5" t="s">
        <v>61</v>
      </c>
      <c r="G103" s="5" t="s">
        <v>62</v>
      </c>
      <c r="H103" s="5" t="s">
        <v>93</v>
      </c>
      <c r="I103" s="5" t="n">
        <v>2</v>
      </c>
      <c r="J103" s="5" t="n">
        <v>9800</v>
      </c>
      <c r="K103" s="5" t="n">
        <v>0.1</v>
      </c>
      <c r="L103" s="5" t="s">
        <v>56</v>
      </c>
      <c r="M103" s="5"/>
      <c r="N103" s="5" t="s">
        <v>57</v>
      </c>
      <c r="O103" s="5"/>
      <c r="P103" s="7" t="n">
        <f aca="false">I103*J103*(1-K103)</f>
        <v>17640</v>
      </c>
      <c r="Q103" s="7" t="n">
        <f aca="false">INDEX(商品マスタ!$D:$D,MATCH(H103,商品マスタ!$A:$A,0))</f>
        <v>5400</v>
      </c>
      <c r="R103" s="7" t="n">
        <f aca="false">P103-I103*Q103</f>
        <v>6840</v>
      </c>
    </row>
    <row r="104" customFormat="false" ht="15" hidden="false" customHeight="true" outlineLevel="0" collapsed="false">
      <c r="A104" s="14" t="s">
        <v>276</v>
      </c>
      <c r="B104" s="15" t="n">
        <v>46035</v>
      </c>
      <c r="C104" s="5" t="s">
        <v>59</v>
      </c>
      <c r="D104" s="5" t="s">
        <v>44</v>
      </c>
      <c r="E104" s="5" t="s">
        <v>277</v>
      </c>
      <c r="F104" s="5" t="s">
        <v>61</v>
      </c>
      <c r="G104" s="5" t="s">
        <v>67</v>
      </c>
      <c r="H104" s="5" t="s">
        <v>88</v>
      </c>
      <c r="I104" s="5" t="n">
        <v>1</v>
      </c>
      <c r="J104" s="5" t="n">
        <v>2600</v>
      </c>
      <c r="K104" s="5" t="n">
        <v>0</v>
      </c>
      <c r="L104" s="14" t="s">
        <v>75</v>
      </c>
      <c r="M104" s="5"/>
      <c r="N104" s="5" t="s">
        <v>57</v>
      </c>
      <c r="O104" s="5"/>
      <c r="P104" s="7" t="n">
        <f aca="false">I104*J104*(1-K104)</f>
        <v>2600</v>
      </c>
      <c r="Q104" s="7" t="n">
        <f aca="false">INDEX(商品マスタ!$D:$D,MATCH(H104,商品マスタ!$A:$A,0))</f>
        <v>1150</v>
      </c>
      <c r="R104" s="7" t="n">
        <f aca="false">P104-I104*Q104</f>
        <v>1450</v>
      </c>
    </row>
    <row r="105" customFormat="false" ht="15" hidden="false" customHeight="true" outlineLevel="0" collapsed="false">
      <c r="A105" s="14" t="s">
        <v>278</v>
      </c>
      <c r="B105" s="15" t="n">
        <v>46050</v>
      </c>
      <c r="C105" s="5" t="s">
        <v>83</v>
      </c>
      <c r="D105" s="5" t="s">
        <v>44</v>
      </c>
      <c r="E105" s="5" t="s">
        <v>279</v>
      </c>
      <c r="F105" s="5" t="s">
        <v>61</v>
      </c>
      <c r="G105" s="5" t="s">
        <v>62</v>
      </c>
      <c r="H105" s="5" t="s">
        <v>85</v>
      </c>
      <c r="I105" s="5" t="n">
        <v>3</v>
      </c>
      <c r="J105" s="5" t="n">
        <v>3200</v>
      </c>
      <c r="K105" s="5" t="n">
        <v>0.05</v>
      </c>
      <c r="L105" s="5" t="s">
        <v>56</v>
      </c>
      <c r="M105" s="5"/>
      <c r="N105" s="5" t="s">
        <v>57</v>
      </c>
      <c r="O105" s="5"/>
      <c r="P105" s="7" t="n">
        <f aca="false">I105*J105*(1-K105)</f>
        <v>9120</v>
      </c>
      <c r="Q105" s="7" t="n">
        <f aca="false">INDEX(商品マスタ!$D:$D,MATCH(H105,商品マスタ!$A:$A,0))</f>
        <v>1600</v>
      </c>
      <c r="R105" s="7" t="n">
        <f aca="false">P105-I105*Q105</f>
        <v>4320</v>
      </c>
    </row>
    <row r="106" customFormat="false" ht="15" hidden="false" customHeight="true" outlineLevel="0" collapsed="false">
      <c r="A106" s="14" t="s">
        <v>280</v>
      </c>
      <c r="B106" s="15" t="n">
        <v>46034</v>
      </c>
      <c r="C106" s="5" t="s">
        <v>43</v>
      </c>
      <c r="D106" s="14" t="s">
        <v>70</v>
      </c>
      <c r="E106" s="5" t="s">
        <v>281</v>
      </c>
      <c r="F106" s="5"/>
      <c r="G106" s="5" t="s">
        <v>116</v>
      </c>
      <c r="H106" s="5" t="s">
        <v>174</v>
      </c>
      <c r="I106" s="5" t="n">
        <v>1</v>
      </c>
      <c r="J106" s="5" t="n">
        <v>5800</v>
      </c>
      <c r="K106" s="5" t="n">
        <v>0</v>
      </c>
      <c r="L106" s="5" t="s">
        <v>49</v>
      </c>
      <c r="M106" s="5"/>
      <c r="N106" s="5" t="s">
        <v>57</v>
      </c>
      <c r="O106" s="5"/>
      <c r="P106" s="7" t="n">
        <f aca="false">I106*J106*(1-K106)</f>
        <v>5800</v>
      </c>
      <c r="Q106" s="7" t="n">
        <f aca="false">INDEX(商品マスタ!$D:$D,MATCH(H106,商品マスタ!$A:$A,0))</f>
        <v>2900</v>
      </c>
      <c r="R106" s="7" t="n">
        <f aca="false">P106-I106*Q106</f>
        <v>2900</v>
      </c>
    </row>
    <row r="107" customFormat="false" ht="15" hidden="false" customHeight="true" outlineLevel="0" collapsed="false">
      <c r="A107" s="14" t="s">
        <v>282</v>
      </c>
      <c r="B107" s="15" t="n">
        <v>46053</v>
      </c>
      <c r="C107" s="5" t="s">
        <v>53</v>
      </c>
      <c r="D107" s="5" t="s">
        <v>44</v>
      </c>
      <c r="E107" s="5" t="s">
        <v>234</v>
      </c>
      <c r="F107" s="5" t="s">
        <v>46</v>
      </c>
      <c r="G107" s="5" t="s">
        <v>116</v>
      </c>
      <c r="H107" s="5" t="s">
        <v>117</v>
      </c>
      <c r="I107" s="5" t="n">
        <v>5</v>
      </c>
      <c r="J107" s="5" t="n">
        <v>1800</v>
      </c>
      <c r="K107" s="5" t="n">
        <v>0</v>
      </c>
      <c r="L107" s="5" t="s">
        <v>81</v>
      </c>
      <c r="M107" s="5"/>
      <c r="N107" s="5" t="s">
        <v>57</v>
      </c>
      <c r="O107" s="5"/>
      <c r="P107" s="7" t="n">
        <f aca="false">I107*J107*(1-K107)</f>
        <v>9000</v>
      </c>
      <c r="Q107" s="7" t="n">
        <f aca="false">INDEX(商品マスタ!$D:$D,MATCH(H107,商品マスタ!$A:$A,0))</f>
        <v>760</v>
      </c>
      <c r="R107" s="7" t="n">
        <f aca="false">P107-I107*Q107</f>
        <v>5200</v>
      </c>
    </row>
    <row r="108" customFormat="false" ht="15" hidden="false" customHeight="true" outlineLevel="0" collapsed="false">
      <c r="A108" s="14" t="s">
        <v>283</v>
      </c>
      <c r="B108" s="15" t="n">
        <v>46030</v>
      </c>
      <c r="C108" s="5" t="s">
        <v>77</v>
      </c>
      <c r="D108" s="5" t="s">
        <v>44</v>
      </c>
      <c r="E108" s="5" t="s">
        <v>284</v>
      </c>
      <c r="F108" s="5" t="s">
        <v>61</v>
      </c>
      <c r="G108" s="5" t="s">
        <v>62</v>
      </c>
      <c r="H108" s="5" t="s">
        <v>93</v>
      </c>
      <c r="I108" s="5" t="n">
        <v>1</v>
      </c>
      <c r="J108" s="5" t="n">
        <v>9800</v>
      </c>
      <c r="K108" s="5" t="n">
        <v>0</v>
      </c>
      <c r="L108" s="5" t="s">
        <v>81</v>
      </c>
      <c r="M108" s="5" t="s">
        <v>183</v>
      </c>
      <c r="N108" s="5" t="s">
        <v>51</v>
      </c>
      <c r="O108" s="5"/>
      <c r="P108" s="7" t="n">
        <f aca="false">I108*J108*(1-K108)</f>
        <v>9800</v>
      </c>
      <c r="Q108" s="7" t="n">
        <f aca="false">INDEX(商品マスタ!$D:$D,MATCH(H108,商品マスタ!$A:$A,0))</f>
        <v>5400</v>
      </c>
      <c r="R108" s="7" t="n">
        <f aca="false">P108-I108*Q108</f>
        <v>4400</v>
      </c>
    </row>
    <row r="109" customFormat="false" ht="15" hidden="false" customHeight="true" outlineLevel="0" collapsed="false">
      <c r="A109" s="14" t="s">
        <v>285</v>
      </c>
      <c r="B109" s="15" t="n">
        <v>46050</v>
      </c>
      <c r="C109" s="5" t="s">
        <v>53</v>
      </c>
      <c r="D109" s="5" t="s">
        <v>44</v>
      </c>
      <c r="E109" s="5" t="s">
        <v>286</v>
      </c>
      <c r="F109" s="5" t="s">
        <v>61</v>
      </c>
      <c r="G109" s="5" t="s">
        <v>47</v>
      </c>
      <c r="H109" s="5" t="s">
        <v>55</v>
      </c>
      <c r="I109" s="5" t="n">
        <v>3</v>
      </c>
      <c r="J109" s="5" t="n">
        <v>1500</v>
      </c>
      <c r="K109" s="5" t="n">
        <v>0</v>
      </c>
      <c r="L109" s="5" t="s">
        <v>64</v>
      </c>
      <c r="M109" s="5"/>
      <c r="N109" s="5" t="s">
        <v>57</v>
      </c>
      <c r="O109" s="5"/>
      <c r="P109" s="7" t="n">
        <f aca="false">I109*J109*(1-K109)</f>
        <v>4500</v>
      </c>
      <c r="Q109" s="7" t="n">
        <f aca="false">INDEX(商品マスタ!$D:$D,MATCH(H109,商品マスタ!$A:$A,0))</f>
        <v>680</v>
      </c>
      <c r="R109" s="7" t="n">
        <f aca="false">P109-I109*Q109</f>
        <v>2460</v>
      </c>
    </row>
    <row r="110" customFormat="false" ht="15" hidden="false" customHeight="true" outlineLevel="0" collapsed="false">
      <c r="A110" s="14" t="s">
        <v>287</v>
      </c>
      <c r="B110" s="15" t="n">
        <v>46025</v>
      </c>
      <c r="C110" s="5" t="s">
        <v>77</v>
      </c>
      <c r="D110" s="14" t="s">
        <v>70</v>
      </c>
      <c r="E110" s="5" t="s">
        <v>288</v>
      </c>
      <c r="F110" s="5" t="s">
        <v>61</v>
      </c>
      <c r="G110" s="5" t="s">
        <v>62</v>
      </c>
      <c r="H110" s="5" t="s">
        <v>80</v>
      </c>
      <c r="I110" s="5" t="n">
        <v>1</v>
      </c>
      <c r="J110" s="5" t="n">
        <v>2800</v>
      </c>
      <c r="K110" s="5" t="n">
        <v>0.05</v>
      </c>
      <c r="L110" s="14" t="s">
        <v>125</v>
      </c>
      <c r="M110" s="5"/>
      <c r="N110" s="5" t="s">
        <v>57</v>
      </c>
      <c r="O110" s="5"/>
      <c r="P110" s="7" t="n">
        <f aca="false">I110*J110*(1-K110)</f>
        <v>2660</v>
      </c>
      <c r="Q110" s="7" t="n">
        <f aca="false">INDEX(商品マスタ!$D:$D,MATCH(H110,商品マスタ!$A:$A,0))</f>
        <v>1400</v>
      </c>
      <c r="R110" s="7" t="n">
        <f aca="false">P110-I110*Q110</f>
        <v>1260</v>
      </c>
    </row>
    <row r="111" customFormat="false" ht="15" hidden="false" customHeight="true" outlineLevel="0" collapsed="false">
      <c r="A111" s="14" t="s">
        <v>289</v>
      </c>
      <c r="B111" s="15" t="n">
        <v>46025</v>
      </c>
      <c r="C111" s="5" t="s">
        <v>83</v>
      </c>
      <c r="D111" s="5" t="s">
        <v>44</v>
      </c>
      <c r="E111" s="5" t="s">
        <v>290</v>
      </c>
      <c r="F111" s="5" t="s">
        <v>79</v>
      </c>
      <c r="G111" s="5" t="s">
        <v>62</v>
      </c>
      <c r="H111" s="5" t="s">
        <v>80</v>
      </c>
      <c r="I111" s="5" t="n">
        <v>1</v>
      </c>
      <c r="J111" s="5" t="n">
        <v>2800</v>
      </c>
      <c r="K111" s="5" t="n">
        <v>0</v>
      </c>
      <c r="L111" s="5" t="s">
        <v>49</v>
      </c>
      <c r="M111" s="5"/>
      <c r="N111" s="5" t="s">
        <v>57</v>
      </c>
      <c r="O111" s="5"/>
      <c r="P111" s="7" t="n">
        <f aca="false">I111*J111*(1-K111)</f>
        <v>2800</v>
      </c>
      <c r="Q111" s="7" t="n">
        <f aca="false">INDEX(商品マスタ!$D:$D,MATCH(H111,商品マスタ!$A:$A,0))</f>
        <v>1400</v>
      </c>
      <c r="R111" s="7" t="n">
        <f aca="false">P111-I111*Q111</f>
        <v>1400</v>
      </c>
    </row>
    <row r="112" customFormat="false" ht="15" hidden="false" customHeight="true" outlineLevel="0" collapsed="false">
      <c r="A112" s="14" t="s">
        <v>291</v>
      </c>
      <c r="B112" s="15" t="n">
        <v>46031</v>
      </c>
      <c r="C112" s="5" t="s">
        <v>59</v>
      </c>
      <c r="D112" s="5" t="s">
        <v>44</v>
      </c>
      <c r="E112" s="5" t="s">
        <v>244</v>
      </c>
      <c r="F112" s="5" t="s">
        <v>61</v>
      </c>
      <c r="G112" s="5" t="s">
        <v>47</v>
      </c>
      <c r="H112" s="5" t="s">
        <v>48</v>
      </c>
      <c r="I112" s="5" t="n">
        <v>1</v>
      </c>
      <c r="J112" s="5" t="n">
        <v>980</v>
      </c>
      <c r="K112" s="5" t="n">
        <v>0</v>
      </c>
      <c r="L112" s="14" t="s">
        <v>75</v>
      </c>
      <c r="M112" s="5"/>
      <c r="N112" s="5" t="s">
        <v>57</v>
      </c>
      <c r="O112" s="5"/>
      <c r="P112" s="7" t="n">
        <f aca="false">I112*J112*(1-K112)</f>
        <v>980</v>
      </c>
      <c r="Q112" s="7" t="n">
        <f aca="false">INDEX(商品マスタ!$D:$D,MATCH(H112,商品マスタ!$A:$A,0))</f>
        <v>420</v>
      </c>
      <c r="R112" s="7" t="n">
        <f aca="false">P112-I112*Q112</f>
        <v>560</v>
      </c>
    </row>
    <row r="113" customFormat="false" ht="15" hidden="false" customHeight="true" outlineLevel="0" collapsed="false">
      <c r="A113" s="14" t="s">
        <v>292</v>
      </c>
      <c r="B113" s="15" t="n">
        <v>46041</v>
      </c>
      <c r="C113" s="5" t="s">
        <v>53</v>
      </c>
      <c r="D113" s="14" t="s">
        <v>70</v>
      </c>
      <c r="E113" s="5" t="s">
        <v>293</v>
      </c>
      <c r="F113" s="5" t="s">
        <v>61</v>
      </c>
      <c r="G113" s="5" t="s">
        <v>62</v>
      </c>
      <c r="H113" s="5" t="s">
        <v>85</v>
      </c>
      <c r="I113" s="5" t="n">
        <v>2</v>
      </c>
      <c r="J113" s="5" t="n">
        <v>3200</v>
      </c>
      <c r="K113" s="5" t="n">
        <v>0.05</v>
      </c>
      <c r="L113" s="14" t="s">
        <v>75</v>
      </c>
      <c r="M113" s="5" t="s">
        <v>50</v>
      </c>
      <c r="N113" s="5" t="s">
        <v>51</v>
      </c>
      <c r="O113" s="5"/>
      <c r="P113" s="7" t="n">
        <f aca="false">I113*J113*(1-K113)</f>
        <v>6080</v>
      </c>
      <c r="Q113" s="7" t="n">
        <f aca="false">INDEX(商品マスタ!$D:$D,MATCH(H113,商品マスタ!$A:$A,0))</f>
        <v>1600</v>
      </c>
      <c r="R113" s="7" t="n">
        <f aca="false">P113-I113*Q113</f>
        <v>2880</v>
      </c>
    </row>
    <row r="114" customFormat="false" ht="15" hidden="false" customHeight="true" outlineLevel="0" collapsed="false">
      <c r="A114" s="14" t="s">
        <v>294</v>
      </c>
      <c r="B114" s="15" t="n">
        <v>46025</v>
      </c>
      <c r="C114" s="5" t="s">
        <v>43</v>
      </c>
      <c r="D114" s="5" t="s">
        <v>44</v>
      </c>
      <c r="E114" s="5" t="s">
        <v>295</v>
      </c>
      <c r="F114" s="5" t="s">
        <v>79</v>
      </c>
      <c r="G114" s="5" t="s">
        <v>116</v>
      </c>
      <c r="H114" s="5" t="s">
        <v>117</v>
      </c>
      <c r="I114" s="5" t="n">
        <v>2</v>
      </c>
      <c r="J114" s="5" t="n">
        <v>1800</v>
      </c>
      <c r="K114" s="5" t="n">
        <v>0</v>
      </c>
      <c r="L114" s="5" t="s">
        <v>81</v>
      </c>
      <c r="M114" s="5"/>
      <c r="N114" s="5" t="s">
        <v>57</v>
      </c>
      <c r="O114" s="5"/>
      <c r="P114" s="7" t="n">
        <f aca="false">I114*J114*(1-K114)</f>
        <v>3600</v>
      </c>
      <c r="Q114" s="7" t="n">
        <f aca="false">INDEX(商品マスタ!$D:$D,MATCH(H114,商品マスタ!$A:$A,0))</f>
        <v>760</v>
      </c>
      <c r="R114" s="7" t="n">
        <f aca="false">P114-I114*Q114</f>
        <v>2080</v>
      </c>
    </row>
    <row r="115" customFormat="false" ht="15" hidden="false" customHeight="true" outlineLevel="0" collapsed="false">
      <c r="A115" s="14" t="s">
        <v>296</v>
      </c>
      <c r="B115" s="15" t="n">
        <v>46038</v>
      </c>
      <c r="C115" s="5" t="s">
        <v>83</v>
      </c>
      <c r="D115" s="14" t="s">
        <v>70</v>
      </c>
      <c r="E115" s="5" t="s">
        <v>234</v>
      </c>
      <c r="F115" s="5" t="s">
        <v>46</v>
      </c>
      <c r="G115" s="5" t="s">
        <v>62</v>
      </c>
      <c r="H115" s="5" t="s">
        <v>85</v>
      </c>
      <c r="I115" s="5" t="n">
        <v>10</v>
      </c>
      <c r="J115" s="5" t="n">
        <v>3200</v>
      </c>
      <c r="K115" s="5" t="n">
        <v>0</v>
      </c>
      <c r="L115" s="5" t="s">
        <v>49</v>
      </c>
      <c r="M115" s="5"/>
      <c r="N115" s="5" t="s">
        <v>57</v>
      </c>
      <c r="O115" s="5"/>
      <c r="P115" s="7" t="n">
        <f aca="false">I115*J115*(1-K115)</f>
        <v>32000</v>
      </c>
      <c r="Q115" s="7" t="n">
        <f aca="false">INDEX(商品マスタ!$D:$D,MATCH(H115,商品マスタ!$A:$A,0))</f>
        <v>1600</v>
      </c>
      <c r="R115" s="7" t="n">
        <f aca="false">P115-I115*Q115</f>
        <v>16000</v>
      </c>
    </row>
    <row r="116" customFormat="false" ht="15" hidden="false" customHeight="true" outlineLevel="0" collapsed="false">
      <c r="A116" s="14" t="s">
        <v>297</v>
      </c>
      <c r="B116" s="15" t="n">
        <v>46032</v>
      </c>
      <c r="C116" s="5" t="s">
        <v>77</v>
      </c>
      <c r="D116" s="14" t="s">
        <v>70</v>
      </c>
      <c r="E116" s="5" t="s">
        <v>298</v>
      </c>
      <c r="F116" s="5" t="s">
        <v>61</v>
      </c>
      <c r="G116" s="5" t="s">
        <v>47</v>
      </c>
      <c r="H116" s="5" t="s">
        <v>74</v>
      </c>
      <c r="I116" s="5" t="n">
        <v>3</v>
      </c>
      <c r="J116" s="5" t="n">
        <v>880</v>
      </c>
      <c r="K116" s="5" t="n">
        <v>0</v>
      </c>
      <c r="L116" s="14" t="s">
        <v>125</v>
      </c>
      <c r="M116" s="5"/>
      <c r="N116" s="5" t="s">
        <v>57</v>
      </c>
      <c r="O116" s="5"/>
      <c r="P116" s="7" t="n">
        <f aca="false">I116*J116*(1-K116)</f>
        <v>2640</v>
      </c>
      <c r="Q116" s="7" t="n">
        <f aca="false">INDEX(商品マスタ!$D:$D,MATCH(H116,商品マスタ!$A:$A,0))</f>
        <v>360</v>
      </c>
      <c r="R116" s="7" t="n">
        <f aca="false">P116-I116*Q116</f>
        <v>1560</v>
      </c>
    </row>
    <row r="117" customFormat="false" ht="15" hidden="false" customHeight="true" outlineLevel="0" collapsed="false">
      <c r="A117" s="14" t="s">
        <v>299</v>
      </c>
      <c r="B117" s="15" t="n">
        <v>46040</v>
      </c>
      <c r="C117" s="5" t="s">
        <v>53</v>
      </c>
      <c r="D117" s="5" t="s">
        <v>44</v>
      </c>
      <c r="E117" s="5" t="s">
        <v>281</v>
      </c>
      <c r="F117" s="5" t="s">
        <v>79</v>
      </c>
      <c r="G117" s="5" t="s">
        <v>116</v>
      </c>
      <c r="H117" s="5" t="s">
        <v>117</v>
      </c>
      <c r="I117" s="5" t="n">
        <v>4</v>
      </c>
      <c r="J117" s="5" t="n">
        <v>1800</v>
      </c>
      <c r="K117" s="5" t="n">
        <v>0</v>
      </c>
      <c r="L117" s="5" t="s">
        <v>81</v>
      </c>
      <c r="M117" s="5"/>
      <c r="N117" s="5" t="s">
        <v>57</v>
      </c>
      <c r="O117" s="5"/>
      <c r="P117" s="7" t="n">
        <f aca="false">I117*J117*(1-K117)</f>
        <v>7200</v>
      </c>
      <c r="Q117" s="7" t="n">
        <f aca="false">INDEX(商品マスタ!$D:$D,MATCH(H117,商品マスタ!$A:$A,0))</f>
        <v>760</v>
      </c>
      <c r="R117" s="7" t="n">
        <f aca="false">P117-I117*Q117</f>
        <v>4160</v>
      </c>
    </row>
    <row r="118" customFormat="false" ht="15" hidden="false" customHeight="true" outlineLevel="0" collapsed="false">
      <c r="A118" s="14" t="s">
        <v>300</v>
      </c>
      <c r="B118" s="15" t="n">
        <v>46036</v>
      </c>
      <c r="C118" s="5" t="s">
        <v>59</v>
      </c>
      <c r="D118" s="14" t="s">
        <v>70</v>
      </c>
      <c r="E118" s="5" t="s">
        <v>301</v>
      </c>
      <c r="F118" s="5" t="s">
        <v>61</v>
      </c>
      <c r="G118" s="5" t="s">
        <v>116</v>
      </c>
      <c r="H118" s="5" t="s">
        <v>174</v>
      </c>
      <c r="I118" s="5" t="n">
        <v>3</v>
      </c>
      <c r="J118" s="5" t="n">
        <v>5800</v>
      </c>
      <c r="K118" s="5" t="n">
        <v>0</v>
      </c>
      <c r="L118" s="5" t="s">
        <v>81</v>
      </c>
      <c r="M118" s="5"/>
      <c r="N118" s="5" t="s">
        <v>57</v>
      </c>
      <c r="O118" s="5"/>
      <c r="P118" s="7" t="n">
        <f aca="false">I118*J118*(1-K118)</f>
        <v>17400</v>
      </c>
      <c r="Q118" s="7" t="n">
        <f aca="false">INDEX(商品マスタ!$D:$D,MATCH(H118,商品マスタ!$A:$A,0))</f>
        <v>2900</v>
      </c>
      <c r="R118" s="7" t="n">
        <f aca="false">P118-I118*Q118</f>
        <v>8700</v>
      </c>
    </row>
    <row r="119" customFormat="false" ht="15" hidden="false" customHeight="true" outlineLevel="0" collapsed="false">
      <c r="A119" s="14" t="s">
        <v>302</v>
      </c>
      <c r="B119" s="15" t="n">
        <v>46039</v>
      </c>
      <c r="C119" s="5" t="s">
        <v>59</v>
      </c>
      <c r="D119" s="5" t="s">
        <v>44</v>
      </c>
      <c r="E119" s="5" t="s">
        <v>232</v>
      </c>
      <c r="F119" s="5" t="s">
        <v>61</v>
      </c>
      <c r="G119" s="5" t="s">
        <v>62</v>
      </c>
      <c r="H119" s="5" t="s">
        <v>63</v>
      </c>
      <c r="I119" s="5" t="n">
        <v>2</v>
      </c>
      <c r="J119" s="5" t="n">
        <v>480</v>
      </c>
      <c r="K119" s="5" t="n">
        <v>0</v>
      </c>
      <c r="L119" s="5" t="s">
        <v>56</v>
      </c>
      <c r="M119" s="5"/>
      <c r="N119" s="5" t="s">
        <v>57</v>
      </c>
      <c r="O119" s="5"/>
      <c r="P119" s="7" t="n">
        <f aca="false">I119*J119*(1-K119)</f>
        <v>960</v>
      </c>
      <c r="Q119" s="7" t="n">
        <f aca="false">INDEX(商品マスタ!$D:$D,MATCH(H119,商品マスタ!$A:$A,0))</f>
        <v>180</v>
      </c>
      <c r="R119" s="7" t="n">
        <f aca="false">P119-I119*Q119</f>
        <v>600</v>
      </c>
    </row>
    <row r="120" customFormat="false" ht="15" hidden="false" customHeight="true" outlineLevel="0" collapsed="false">
      <c r="A120" s="14" t="s">
        <v>303</v>
      </c>
      <c r="B120" s="15" t="n">
        <v>46033</v>
      </c>
      <c r="C120" s="5" t="s">
        <v>77</v>
      </c>
      <c r="D120" s="14" t="s">
        <v>70</v>
      </c>
      <c r="E120" s="5" t="s">
        <v>304</v>
      </c>
      <c r="F120" s="5" t="s">
        <v>79</v>
      </c>
      <c r="G120" s="5" t="s">
        <v>116</v>
      </c>
      <c r="H120" s="5" t="s">
        <v>117</v>
      </c>
      <c r="I120" s="5" t="n">
        <v>2</v>
      </c>
      <c r="J120" s="5" t="n">
        <v>1800</v>
      </c>
      <c r="K120" s="5" t="n">
        <v>0.05</v>
      </c>
      <c r="L120" s="5" t="s">
        <v>56</v>
      </c>
      <c r="M120" s="5"/>
      <c r="N120" s="5" t="s">
        <v>57</v>
      </c>
      <c r="O120" s="5"/>
      <c r="P120" s="7" t="n">
        <f aca="false">I120*J120*(1-K120)</f>
        <v>3420</v>
      </c>
      <c r="Q120" s="7" t="n">
        <f aca="false">INDEX(商品マスタ!$D:$D,MATCH(H120,商品マスタ!$A:$A,0))</f>
        <v>760</v>
      </c>
      <c r="R120" s="7" t="n">
        <f aca="false">P120-I120*Q120</f>
        <v>1900</v>
      </c>
    </row>
    <row r="121" customFormat="false" ht="15" hidden="false" customHeight="true" outlineLevel="0" collapsed="false">
      <c r="A121" s="14" t="s">
        <v>305</v>
      </c>
      <c r="B121" s="15" t="n">
        <v>46051</v>
      </c>
      <c r="C121" s="5" t="s">
        <v>53</v>
      </c>
      <c r="D121" s="14" t="s">
        <v>70</v>
      </c>
      <c r="E121" s="5" t="s">
        <v>306</v>
      </c>
      <c r="F121" s="5" t="s">
        <v>61</v>
      </c>
      <c r="G121" s="5" t="s">
        <v>116</v>
      </c>
      <c r="H121" s="5" t="s">
        <v>120</v>
      </c>
      <c r="I121" s="5" t="n">
        <v>1</v>
      </c>
      <c r="J121" s="5" t="n">
        <v>3800</v>
      </c>
      <c r="K121" s="5" t="n">
        <v>0</v>
      </c>
      <c r="L121" s="5" t="s">
        <v>49</v>
      </c>
      <c r="M121" s="5"/>
      <c r="N121" s="5" t="s">
        <v>57</v>
      </c>
      <c r="O121" s="5"/>
      <c r="P121" s="7" t="n">
        <f aca="false">I121*J121*(1-K121)</f>
        <v>3800</v>
      </c>
      <c r="Q121" s="7" t="n">
        <f aca="false">INDEX(商品マスタ!$D:$D,MATCH(H121,商品マスタ!$A:$A,0))</f>
        <v>1900</v>
      </c>
      <c r="R121" s="7" t="n">
        <f aca="false">P121-I121*Q121</f>
        <v>1900</v>
      </c>
    </row>
    <row r="122" customFormat="false" ht="15" hidden="false" customHeight="true" outlineLevel="0" collapsed="false">
      <c r="A122" s="14" t="s">
        <v>307</v>
      </c>
      <c r="B122" s="15" t="n">
        <v>46027</v>
      </c>
      <c r="C122" s="5" t="s">
        <v>83</v>
      </c>
      <c r="D122" s="5" t="s">
        <v>44</v>
      </c>
      <c r="E122" s="5" t="s">
        <v>185</v>
      </c>
      <c r="F122" s="5" t="s">
        <v>79</v>
      </c>
      <c r="G122" s="5" t="s">
        <v>47</v>
      </c>
      <c r="H122" s="5" t="s">
        <v>74</v>
      </c>
      <c r="I122" s="5" t="n">
        <v>1</v>
      </c>
      <c r="J122" s="5" t="n">
        <v>880</v>
      </c>
      <c r="K122" s="5" t="n">
        <v>0</v>
      </c>
      <c r="L122" s="5" t="s">
        <v>81</v>
      </c>
      <c r="M122" s="5"/>
      <c r="N122" s="5" t="s">
        <v>57</v>
      </c>
      <c r="O122" s="5"/>
      <c r="P122" s="7" t="n">
        <f aca="false">I122*J122*(1-K122)</f>
        <v>880</v>
      </c>
      <c r="Q122" s="7" t="n">
        <f aca="false">INDEX(商品マスタ!$D:$D,MATCH(H122,商品マスタ!$A:$A,0))</f>
        <v>360</v>
      </c>
      <c r="R122" s="7" t="n">
        <f aca="false">P122-I122*Q122</f>
        <v>520</v>
      </c>
    </row>
    <row r="123" customFormat="false" ht="15" hidden="false" customHeight="true" outlineLevel="0" collapsed="false">
      <c r="A123" s="14" t="s">
        <v>308</v>
      </c>
      <c r="B123" s="15" t="n">
        <v>46051</v>
      </c>
      <c r="C123" s="5" t="s">
        <v>83</v>
      </c>
      <c r="D123" s="14" t="s">
        <v>70</v>
      </c>
      <c r="E123" s="5" t="s">
        <v>137</v>
      </c>
      <c r="F123" s="5" t="s">
        <v>46</v>
      </c>
      <c r="G123" s="5" t="s">
        <v>67</v>
      </c>
      <c r="H123" s="5" t="s">
        <v>88</v>
      </c>
      <c r="I123" s="5" t="n">
        <v>24</v>
      </c>
      <c r="J123" s="5" t="n">
        <v>2600</v>
      </c>
      <c r="K123" s="5" t="n">
        <v>0.1</v>
      </c>
      <c r="L123" s="5" t="s">
        <v>64</v>
      </c>
      <c r="M123" s="5"/>
      <c r="N123" s="5" t="s">
        <v>57</v>
      </c>
      <c r="O123" s="5"/>
      <c r="P123" s="7" t="n">
        <f aca="false">I123*J123*(1-K123)</f>
        <v>56160</v>
      </c>
      <c r="Q123" s="7" t="n">
        <f aca="false">INDEX(商品マスタ!$D:$D,MATCH(H123,商品マスタ!$A:$A,0))</f>
        <v>1150</v>
      </c>
      <c r="R123" s="7" t="n">
        <f aca="false">P123-I123*Q123</f>
        <v>28560</v>
      </c>
    </row>
    <row r="124" customFormat="false" ht="15" hidden="false" customHeight="true" outlineLevel="0" collapsed="false">
      <c r="A124" s="14" t="s">
        <v>309</v>
      </c>
      <c r="B124" s="15" t="n">
        <v>46035</v>
      </c>
      <c r="C124" s="5" t="s">
        <v>59</v>
      </c>
      <c r="D124" s="5" t="s">
        <v>44</v>
      </c>
      <c r="E124" s="5" t="s">
        <v>201</v>
      </c>
      <c r="F124" s="5" t="s">
        <v>46</v>
      </c>
      <c r="G124" s="5" t="s">
        <v>62</v>
      </c>
      <c r="H124" s="5" t="s">
        <v>85</v>
      </c>
      <c r="I124" s="5" t="n">
        <v>12</v>
      </c>
      <c r="J124" s="5" t="n">
        <v>3200</v>
      </c>
      <c r="K124" s="5" t="n">
        <v>0.05</v>
      </c>
      <c r="L124" s="5" t="s">
        <v>81</v>
      </c>
      <c r="M124" s="5" t="s">
        <v>198</v>
      </c>
      <c r="N124" s="5" t="s">
        <v>57</v>
      </c>
      <c r="O124" s="5"/>
      <c r="P124" s="7" t="n">
        <f aca="false">I124*J124*(1-K124)</f>
        <v>36480</v>
      </c>
      <c r="Q124" s="7" t="n">
        <f aca="false">INDEX(商品マスタ!$D:$D,MATCH(H124,商品マスタ!$A:$A,0))</f>
        <v>1600</v>
      </c>
      <c r="R124" s="7" t="n">
        <f aca="false">P124-I124*Q124</f>
        <v>17280</v>
      </c>
    </row>
    <row r="125" customFormat="false" ht="15" hidden="false" customHeight="true" outlineLevel="0" collapsed="false">
      <c r="A125" s="14" t="s">
        <v>310</v>
      </c>
      <c r="B125" s="15" t="n">
        <v>46024</v>
      </c>
      <c r="C125" s="5" t="s">
        <v>43</v>
      </c>
      <c r="D125" s="5" t="s">
        <v>44</v>
      </c>
      <c r="E125" s="5" t="s">
        <v>311</v>
      </c>
      <c r="F125" s="5" t="s">
        <v>79</v>
      </c>
      <c r="G125" s="5" t="s">
        <v>116</v>
      </c>
      <c r="H125" s="5" t="s">
        <v>174</v>
      </c>
      <c r="I125" s="5" t="n">
        <v>1</v>
      </c>
      <c r="J125" s="16" t="n">
        <v>5800</v>
      </c>
      <c r="K125" s="5" t="n">
        <v>0</v>
      </c>
      <c r="L125" s="5" t="s">
        <v>49</v>
      </c>
      <c r="M125" s="5"/>
      <c r="N125" s="5" t="s">
        <v>57</v>
      </c>
      <c r="O125" s="5" t="s">
        <v>159</v>
      </c>
      <c r="P125" s="7" t="n">
        <f aca="false">I125*J125*(1-K125)</f>
        <v>5800</v>
      </c>
      <c r="Q125" s="7" t="n">
        <f aca="false">INDEX(商品マスタ!$D:$D,MATCH(H125,商品マスタ!$A:$A,0))</f>
        <v>2900</v>
      </c>
      <c r="R125" s="7" t="n">
        <f aca="false">P125-I125*Q125</f>
        <v>2900</v>
      </c>
    </row>
    <row r="126" customFormat="false" ht="15" hidden="false" customHeight="true" outlineLevel="0" collapsed="false">
      <c r="A126" s="14" t="s">
        <v>312</v>
      </c>
      <c r="B126" s="15" t="n">
        <v>46053</v>
      </c>
      <c r="C126" s="5" t="s">
        <v>53</v>
      </c>
      <c r="D126" s="5" t="s">
        <v>44</v>
      </c>
      <c r="E126" s="5" t="s">
        <v>313</v>
      </c>
      <c r="F126" s="5" t="s">
        <v>79</v>
      </c>
      <c r="G126" s="5" t="s">
        <v>67</v>
      </c>
      <c r="H126" s="5" t="s">
        <v>179</v>
      </c>
      <c r="I126" s="5" t="n">
        <v>1</v>
      </c>
      <c r="J126" s="5" t="n">
        <v>1600</v>
      </c>
      <c r="K126" s="5" t="n">
        <v>0</v>
      </c>
      <c r="L126" s="5" t="s">
        <v>81</v>
      </c>
      <c r="M126" s="5"/>
      <c r="N126" s="5" t="s">
        <v>57</v>
      </c>
      <c r="O126" s="5"/>
      <c r="P126" s="7" t="n">
        <f aca="false">I126*J126*(1-K126)</f>
        <v>1600</v>
      </c>
      <c r="Q126" s="7" t="n">
        <f aca="false">INDEX(商品マスタ!$D:$D,MATCH(H126,商品マスタ!$A:$A,0))</f>
        <v>700</v>
      </c>
      <c r="R126" s="7" t="n">
        <f aca="false">P126-I126*Q126</f>
        <v>900</v>
      </c>
    </row>
    <row r="127" customFormat="false" ht="15" hidden="false" customHeight="true" outlineLevel="0" collapsed="false">
      <c r="A127" s="14" t="s">
        <v>314</v>
      </c>
      <c r="B127" s="15" t="n">
        <v>46037</v>
      </c>
      <c r="C127" s="5" t="s">
        <v>83</v>
      </c>
      <c r="D127" s="5" t="s">
        <v>44</v>
      </c>
      <c r="E127" s="14" t="s">
        <v>54</v>
      </c>
      <c r="F127" s="5" t="s">
        <v>46</v>
      </c>
      <c r="G127" s="5" t="s">
        <v>62</v>
      </c>
      <c r="H127" s="5" t="s">
        <v>80</v>
      </c>
      <c r="I127" s="5" t="n">
        <v>10</v>
      </c>
      <c r="J127" s="5" t="n">
        <v>2800</v>
      </c>
      <c r="K127" s="5" t="n">
        <v>0.1</v>
      </c>
      <c r="L127" s="5" t="s">
        <v>81</v>
      </c>
      <c r="M127" s="5"/>
      <c r="N127" s="5" t="s">
        <v>57</v>
      </c>
      <c r="O127" s="5"/>
      <c r="P127" s="7" t="n">
        <f aca="false">I127*J127*(1-K127)</f>
        <v>25200</v>
      </c>
      <c r="Q127" s="7" t="n">
        <f aca="false">INDEX(商品マスタ!$D:$D,MATCH(H127,商品マスタ!$A:$A,0))</f>
        <v>1400</v>
      </c>
      <c r="R127" s="7" t="n">
        <f aca="false">P127-I127*Q127</f>
        <v>11200</v>
      </c>
    </row>
    <row r="128" customFormat="false" ht="15" hidden="false" customHeight="true" outlineLevel="0" collapsed="false">
      <c r="A128" s="14" t="s">
        <v>315</v>
      </c>
      <c r="B128" s="15" t="n">
        <v>46037</v>
      </c>
      <c r="C128" s="5" t="s">
        <v>59</v>
      </c>
      <c r="D128" s="14" t="s">
        <v>70</v>
      </c>
      <c r="E128" s="5" t="s">
        <v>316</v>
      </c>
      <c r="F128" s="5" t="s">
        <v>79</v>
      </c>
      <c r="G128" s="5" t="s">
        <v>47</v>
      </c>
      <c r="H128" s="5" t="s">
        <v>48</v>
      </c>
      <c r="I128" s="5" t="n">
        <v>1</v>
      </c>
      <c r="J128" s="5" t="n">
        <v>980</v>
      </c>
      <c r="K128" s="5" t="n">
        <v>0</v>
      </c>
      <c r="L128" s="14" t="s">
        <v>125</v>
      </c>
      <c r="M128" s="5"/>
      <c r="N128" s="5" t="s">
        <v>57</v>
      </c>
      <c r="O128" s="5"/>
      <c r="P128" s="7" t="n">
        <f aca="false">I128*J128*(1-K128)</f>
        <v>980</v>
      </c>
      <c r="Q128" s="7" t="n">
        <f aca="false">INDEX(商品マスタ!$D:$D,MATCH(H128,商品マスタ!$A:$A,0))</f>
        <v>420</v>
      </c>
      <c r="R128" s="7" t="n">
        <f aca="false">P128-I128*Q128</f>
        <v>560</v>
      </c>
    </row>
    <row r="129" customFormat="false" ht="15" hidden="false" customHeight="true" outlineLevel="0" collapsed="false">
      <c r="A129" s="14" t="s">
        <v>317</v>
      </c>
      <c r="B129" s="15" t="n">
        <v>46046</v>
      </c>
      <c r="C129" s="5" t="s">
        <v>53</v>
      </c>
      <c r="D129" s="5" t="s">
        <v>44</v>
      </c>
      <c r="E129" s="5" t="s">
        <v>318</v>
      </c>
      <c r="F129" s="5" t="s">
        <v>61</v>
      </c>
      <c r="G129" s="5" t="s">
        <v>67</v>
      </c>
      <c r="H129" s="5" t="s">
        <v>179</v>
      </c>
      <c r="I129" s="5" t="n">
        <v>1</v>
      </c>
      <c r="J129" s="5" t="n">
        <v>1600</v>
      </c>
      <c r="K129" s="5" t="n">
        <v>0</v>
      </c>
      <c r="L129" s="5" t="s">
        <v>81</v>
      </c>
      <c r="M129" s="5"/>
      <c r="N129" s="5" t="s">
        <v>57</v>
      </c>
      <c r="O129" s="5"/>
      <c r="P129" s="7" t="n">
        <f aca="false">I129*J129*(1-K129)</f>
        <v>1600</v>
      </c>
      <c r="Q129" s="7" t="n">
        <f aca="false">INDEX(商品マスタ!$D:$D,MATCH(H129,商品マスタ!$A:$A,0))</f>
        <v>700</v>
      </c>
      <c r="R129" s="7" t="n">
        <f aca="false">P129-I129*Q129</f>
        <v>900</v>
      </c>
    </row>
    <row r="130" customFormat="false" ht="15" hidden="false" customHeight="true" outlineLevel="0" collapsed="false">
      <c r="A130" s="14" t="s">
        <v>319</v>
      </c>
      <c r="B130" s="15" t="n">
        <v>46039</v>
      </c>
      <c r="C130" s="5" t="s">
        <v>53</v>
      </c>
      <c r="D130" s="14" t="s">
        <v>70</v>
      </c>
      <c r="E130" s="5" t="s">
        <v>320</v>
      </c>
      <c r="F130" s="5" t="s">
        <v>79</v>
      </c>
      <c r="G130" s="5" t="s">
        <v>62</v>
      </c>
      <c r="H130" s="5" t="s">
        <v>63</v>
      </c>
      <c r="I130" s="5" t="n">
        <v>2</v>
      </c>
      <c r="J130" s="5" t="n">
        <v>480</v>
      </c>
      <c r="K130" s="5" t="n">
        <v>0.1</v>
      </c>
      <c r="L130" s="5" t="s">
        <v>81</v>
      </c>
      <c r="M130" s="5"/>
      <c r="N130" s="5" t="s">
        <v>57</v>
      </c>
      <c r="O130" s="5"/>
      <c r="P130" s="7" t="n">
        <f aca="false">I130*J130*(1-K130)</f>
        <v>864</v>
      </c>
      <c r="Q130" s="7" t="n">
        <f aca="false">INDEX(商品マスタ!$D:$D,MATCH(H130,商品マスタ!$A:$A,0))</f>
        <v>180</v>
      </c>
      <c r="R130" s="7" t="n">
        <f aca="false">P130-I130*Q130</f>
        <v>504</v>
      </c>
    </row>
    <row r="131" customFormat="false" ht="15" hidden="false" customHeight="true" outlineLevel="0" collapsed="false">
      <c r="A131" s="14" t="s">
        <v>321</v>
      </c>
      <c r="B131" s="15" t="n">
        <v>46052</v>
      </c>
      <c r="C131" s="5" t="s">
        <v>59</v>
      </c>
      <c r="D131" s="5" t="s">
        <v>44</v>
      </c>
      <c r="E131" s="5" t="s">
        <v>288</v>
      </c>
      <c r="F131" s="5" t="s">
        <v>61</v>
      </c>
      <c r="G131" s="5" t="s">
        <v>47</v>
      </c>
      <c r="H131" s="5" t="s">
        <v>48</v>
      </c>
      <c r="I131" s="5" t="n">
        <v>2</v>
      </c>
      <c r="J131" s="5" t="n">
        <v>980</v>
      </c>
      <c r="K131" s="5" t="n">
        <v>0</v>
      </c>
      <c r="L131" s="5" t="s">
        <v>81</v>
      </c>
      <c r="M131" s="5"/>
      <c r="N131" s="5" t="s">
        <v>57</v>
      </c>
      <c r="O131" s="5"/>
      <c r="P131" s="7" t="n">
        <f aca="false">I131*J131*(1-K131)</f>
        <v>1960</v>
      </c>
      <c r="Q131" s="7" t="n">
        <f aca="false">INDEX(商品マスタ!$D:$D,MATCH(H131,商品マスタ!$A:$A,0))</f>
        <v>420</v>
      </c>
      <c r="R131" s="7" t="n">
        <f aca="false">P131-I131*Q131</f>
        <v>1120</v>
      </c>
    </row>
    <row r="132" customFormat="false" ht="15" hidden="false" customHeight="true" outlineLevel="0" collapsed="false">
      <c r="A132" s="14" t="s">
        <v>322</v>
      </c>
      <c r="B132" s="15" t="n">
        <v>46032</v>
      </c>
      <c r="C132" s="5" t="s">
        <v>59</v>
      </c>
      <c r="D132" s="5" t="s">
        <v>44</v>
      </c>
      <c r="E132" s="5" t="s">
        <v>323</v>
      </c>
      <c r="F132" s="5" t="s">
        <v>79</v>
      </c>
      <c r="G132" s="5" t="s">
        <v>67</v>
      </c>
      <c r="H132" s="5" t="s">
        <v>179</v>
      </c>
      <c r="I132" s="5" t="n">
        <v>4</v>
      </c>
      <c r="J132" s="5" t="n">
        <v>1600</v>
      </c>
      <c r="K132" s="5" t="n">
        <v>0.05</v>
      </c>
      <c r="L132" s="5" t="s">
        <v>81</v>
      </c>
      <c r="M132" s="5"/>
      <c r="N132" s="5" t="s">
        <v>57</v>
      </c>
      <c r="O132" s="5"/>
      <c r="P132" s="7" t="n">
        <f aca="false">I132*J132*(1-K132)</f>
        <v>6080</v>
      </c>
      <c r="Q132" s="7" t="n">
        <f aca="false">INDEX(商品マスタ!$D:$D,MATCH(H132,商品マスタ!$A:$A,0))</f>
        <v>700</v>
      </c>
      <c r="R132" s="7" t="n">
        <f aca="false">P132-I132*Q132</f>
        <v>3280</v>
      </c>
    </row>
    <row r="133" customFormat="false" ht="15" hidden="false" customHeight="true" outlineLevel="0" collapsed="false">
      <c r="A133" s="14" t="s">
        <v>324</v>
      </c>
      <c r="B133" s="15" t="n">
        <v>46030</v>
      </c>
      <c r="C133" s="5" t="s">
        <v>43</v>
      </c>
      <c r="D133" s="5" t="s">
        <v>44</v>
      </c>
      <c r="E133" s="5" t="s">
        <v>325</v>
      </c>
      <c r="F133" s="5" t="s">
        <v>79</v>
      </c>
      <c r="G133" s="5" t="s">
        <v>67</v>
      </c>
      <c r="H133" s="5" t="s">
        <v>179</v>
      </c>
      <c r="I133" s="5" t="n">
        <v>1</v>
      </c>
      <c r="J133" s="5" t="n">
        <v>1600</v>
      </c>
      <c r="K133" s="5" t="n">
        <v>0</v>
      </c>
      <c r="L133" s="14" t="s">
        <v>75</v>
      </c>
      <c r="M133" s="5"/>
      <c r="N133" s="5" t="s">
        <v>57</v>
      </c>
      <c r="O133" s="5"/>
      <c r="P133" s="7" t="n">
        <f aca="false">I133*J133*(1-K133)</f>
        <v>1600</v>
      </c>
      <c r="Q133" s="7" t="n">
        <f aca="false">INDEX(商品マスタ!$D:$D,MATCH(H133,商品マスタ!$A:$A,0))</f>
        <v>700</v>
      </c>
      <c r="R133" s="7" t="n">
        <f aca="false">P133-I133*Q133</f>
        <v>900</v>
      </c>
    </row>
    <row r="134" customFormat="false" ht="15" hidden="false" customHeight="true" outlineLevel="0" collapsed="false">
      <c r="A134" s="14" t="s">
        <v>326</v>
      </c>
      <c r="B134" s="15" t="n">
        <v>46040</v>
      </c>
      <c r="C134" s="5" t="s">
        <v>53</v>
      </c>
      <c r="D134" s="14" t="s">
        <v>70</v>
      </c>
      <c r="E134" s="5" t="s">
        <v>327</v>
      </c>
      <c r="F134" s="5" t="s">
        <v>61</v>
      </c>
      <c r="G134" s="5" t="s">
        <v>67</v>
      </c>
      <c r="H134" s="5" t="s">
        <v>88</v>
      </c>
      <c r="I134" s="5" t="n">
        <v>2</v>
      </c>
      <c r="J134" s="5" t="n">
        <v>2600</v>
      </c>
      <c r="K134" s="5" t="n">
        <v>0</v>
      </c>
      <c r="L134" s="5" t="s">
        <v>64</v>
      </c>
      <c r="M134" s="5"/>
      <c r="N134" s="5" t="s">
        <v>57</v>
      </c>
      <c r="O134" s="5"/>
      <c r="P134" s="7" t="n">
        <f aca="false">I134*J134*(1-K134)</f>
        <v>5200</v>
      </c>
      <c r="Q134" s="7" t="n">
        <f aca="false">INDEX(商品マスタ!$D:$D,MATCH(H134,商品マスタ!$A:$A,0))</f>
        <v>1150</v>
      </c>
      <c r="R134" s="7" t="n">
        <f aca="false">P134-I134*Q134</f>
        <v>2900</v>
      </c>
    </row>
    <row r="135" customFormat="false" ht="15" hidden="false" customHeight="true" outlineLevel="0" collapsed="false">
      <c r="A135" s="14" t="s">
        <v>328</v>
      </c>
      <c r="B135" s="15" t="n">
        <v>46044</v>
      </c>
      <c r="C135" s="5" t="s">
        <v>77</v>
      </c>
      <c r="D135" s="5" t="s">
        <v>44</v>
      </c>
      <c r="E135" s="5" t="s">
        <v>45</v>
      </c>
      <c r="F135" s="5" t="s">
        <v>46</v>
      </c>
      <c r="G135" s="5" t="s">
        <v>116</v>
      </c>
      <c r="H135" s="5" t="s">
        <v>174</v>
      </c>
      <c r="I135" s="5" t="n">
        <v>20</v>
      </c>
      <c r="J135" s="5" t="n">
        <v>5800</v>
      </c>
      <c r="K135" s="5" t="n">
        <v>0</v>
      </c>
      <c r="L135" s="5" t="s">
        <v>56</v>
      </c>
      <c r="M135" s="5"/>
      <c r="N135" s="5" t="s">
        <v>57</v>
      </c>
      <c r="O135" s="5"/>
      <c r="P135" s="7" t="n">
        <f aca="false">I135*J135*(1-K135)</f>
        <v>116000</v>
      </c>
      <c r="Q135" s="7" t="n">
        <f aca="false">INDEX(商品マスタ!$D:$D,MATCH(H135,商品マスタ!$A:$A,0))</f>
        <v>2900</v>
      </c>
      <c r="R135" s="7" t="n">
        <f aca="false">P135-I135*Q135</f>
        <v>58000</v>
      </c>
    </row>
    <row r="136" customFormat="false" ht="15" hidden="false" customHeight="true" outlineLevel="0" collapsed="false">
      <c r="A136" s="14" t="s">
        <v>329</v>
      </c>
      <c r="B136" s="15" t="n">
        <v>46050</v>
      </c>
      <c r="C136" s="5" t="s">
        <v>53</v>
      </c>
      <c r="D136" s="5" t="s">
        <v>44</v>
      </c>
      <c r="E136" s="5" t="s">
        <v>170</v>
      </c>
      <c r="F136" s="5" t="s">
        <v>61</v>
      </c>
      <c r="G136" s="5" t="s">
        <v>62</v>
      </c>
      <c r="H136" s="5" t="s">
        <v>63</v>
      </c>
      <c r="I136" s="5" t="n">
        <v>2</v>
      </c>
      <c r="J136" s="5" t="n">
        <v>480</v>
      </c>
      <c r="K136" s="5" t="n">
        <v>0</v>
      </c>
      <c r="L136" s="14" t="s">
        <v>125</v>
      </c>
      <c r="M136" s="5"/>
      <c r="N136" s="5" t="s">
        <v>57</v>
      </c>
      <c r="O136" s="5"/>
      <c r="P136" s="7" t="n">
        <f aca="false">I136*J136*(1-K136)</f>
        <v>960</v>
      </c>
      <c r="Q136" s="7" t="n">
        <f aca="false">INDEX(商品マスタ!$D:$D,MATCH(H136,商品マスタ!$A:$A,0))</f>
        <v>180</v>
      </c>
      <c r="R136" s="7" t="n">
        <f aca="false">P136-I136*Q136</f>
        <v>600</v>
      </c>
    </row>
    <row r="137" customFormat="false" ht="15" hidden="false" customHeight="true" outlineLevel="0" collapsed="false">
      <c r="A137" s="14" t="s">
        <v>330</v>
      </c>
      <c r="B137" s="15" t="n">
        <v>46033</v>
      </c>
      <c r="C137" s="5" t="s">
        <v>77</v>
      </c>
      <c r="D137" s="5" t="s">
        <v>44</v>
      </c>
      <c r="E137" s="5" t="s">
        <v>331</v>
      </c>
      <c r="F137" s="5" t="s">
        <v>61</v>
      </c>
      <c r="G137" s="5" t="s">
        <v>67</v>
      </c>
      <c r="H137" s="5" t="s">
        <v>179</v>
      </c>
      <c r="I137" s="5" t="n">
        <v>1</v>
      </c>
      <c r="J137" s="5" t="n">
        <v>1600</v>
      </c>
      <c r="K137" s="5" t="n">
        <v>0</v>
      </c>
      <c r="L137" s="5" t="s">
        <v>64</v>
      </c>
      <c r="M137" s="5"/>
      <c r="N137" s="5" t="s">
        <v>57</v>
      </c>
      <c r="O137" s="5"/>
      <c r="P137" s="7" t="n">
        <f aca="false">I137*J137*(1-K137)</f>
        <v>1600</v>
      </c>
      <c r="Q137" s="7" t="n">
        <f aca="false">INDEX(商品マスタ!$D:$D,MATCH(H137,商品マスタ!$A:$A,0))</f>
        <v>700</v>
      </c>
      <c r="R137" s="7" t="n">
        <f aca="false">P137-I137*Q137</f>
        <v>900</v>
      </c>
    </row>
    <row r="138" customFormat="false" ht="15" hidden="false" customHeight="true" outlineLevel="0" collapsed="false">
      <c r="A138" s="14" t="s">
        <v>332</v>
      </c>
      <c r="B138" s="15" t="n">
        <v>46040</v>
      </c>
      <c r="C138" s="5" t="s">
        <v>43</v>
      </c>
      <c r="D138" s="14" t="s">
        <v>70</v>
      </c>
      <c r="E138" s="5" t="s">
        <v>333</v>
      </c>
      <c r="F138" s="5" t="s">
        <v>79</v>
      </c>
      <c r="G138" s="5" t="s">
        <v>67</v>
      </c>
      <c r="H138" s="5" t="s">
        <v>179</v>
      </c>
      <c r="I138" s="5" t="n">
        <v>1</v>
      </c>
      <c r="J138" s="5" t="n">
        <v>1600</v>
      </c>
      <c r="K138" s="5" t="n">
        <v>0</v>
      </c>
      <c r="L138" s="14" t="s">
        <v>125</v>
      </c>
      <c r="M138" s="5"/>
      <c r="N138" s="5" t="s">
        <v>57</v>
      </c>
      <c r="O138" s="5"/>
      <c r="P138" s="7" t="n">
        <f aca="false">I138*J138*(1-K138)</f>
        <v>1600</v>
      </c>
      <c r="Q138" s="7" t="n">
        <f aca="false">INDEX(商品マスタ!$D:$D,MATCH(H138,商品マスタ!$A:$A,0))</f>
        <v>700</v>
      </c>
      <c r="R138" s="7" t="n">
        <f aca="false">P138-I138*Q138</f>
        <v>900</v>
      </c>
    </row>
    <row r="139" customFormat="false" ht="15" hidden="false" customHeight="true" outlineLevel="0" collapsed="false">
      <c r="A139" s="14" t="s">
        <v>334</v>
      </c>
      <c r="B139" s="15" t="n">
        <v>46041</v>
      </c>
      <c r="C139" s="5" t="s">
        <v>43</v>
      </c>
      <c r="D139" s="5" t="s">
        <v>44</v>
      </c>
      <c r="E139" s="5" t="s">
        <v>335</v>
      </c>
      <c r="F139" s="5"/>
      <c r="G139" s="5" t="s">
        <v>116</v>
      </c>
      <c r="H139" s="5" t="s">
        <v>120</v>
      </c>
      <c r="I139" s="5" t="n">
        <v>1</v>
      </c>
      <c r="J139" s="5" t="n">
        <v>3800</v>
      </c>
      <c r="K139" s="5" t="n">
        <v>0</v>
      </c>
      <c r="L139" s="5" t="s">
        <v>81</v>
      </c>
      <c r="M139" s="5"/>
      <c r="N139" s="5" t="s">
        <v>57</v>
      </c>
      <c r="O139" s="5"/>
      <c r="P139" s="7" t="n">
        <f aca="false">I139*J139*(1-K139)</f>
        <v>3800</v>
      </c>
      <c r="Q139" s="7" t="n">
        <f aca="false">INDEX(商品マスタ!$D:$D,MATCH(H139,商品マスタ!$A:$A,0))</f>
        <v>1900</v>
      </c>
      <c r="R139" s="7" t="n">
        <f aca="false">P139-I139*Q139</f>
        <v>1900</v>
      </c>
    </row>
    <row r="140" customFormat="false" ht="15" hidden="false" customHeight="true" outlineLevel="0" collapsed="false">
      <c r="A140" s="14" t="s">
        <v>336</v>
      </c>
      <c r="B140" s="15" t="n">
        <v>46052</v>
      </c>
      <c r="C140" s="5" t="s">
        <v>53</v>
      </c>
      <c r="D140" s="14" t="s">
        <v>70</v>
      </c>
      <c r="E140" s="5" t="s">
        <v>141</v>
      </c>
      <c r="F140" s="5" t="s">
        <v>61</v>
      </c>
      <c r="G140" s="5" t="s">
        <v>116</v>
      </c>
      <c r="H140" s="5" t="s">
        <v>174</v>
      </c>
      <c r="I140" s="5" t="n">
        <v>2</v>
      </c>
      <c r="J140" s="5" t="n">
        <v>5800</v>
      </c>
      <c r="K140" s="5" t="n">
        <v>0.05</v>
      </c>
      <c r="L140" s="5" t="s">
        <v>56</v>
      </c>
      <c r="M140" s="5"/>
      <c r="N140" s="5" t="s">
        <v>57</v>
      </c>
      <c r="O140" s="5"/>
      <c r="P140" s="7" t="n">
        <f aca="false">I140*J140*(1-K140)</f>
        <v>11020</v>
      </c>
      <c r="Q140" s="7" t="n">
        <f aca="false">INDEX(商品マスタ!$D:$D,MATCH(H140,商品マスタ!$A:$A,0))</f>
        <v>2900</v>
      </c>
      <c r="R140" s="7" t="n">
        <f aca="false">P140-I140*Q140</f>
        <v>5220</v>
      </c>
    </row>
    <row r="141" customFormat="false" ht="15" hidden="false" customHeight="true" outlineLevel="0" collapsed="false">
      <c r="A141" s="14" t="s">
        <v>337</v>
      </c>
      <c r="B141" s="15" t="n">
        <v>46050</v>
      </c>
      <c r="C141" s="5" t="s">
        <v>59</v>
      </c>
      <c r="D141" s="5" t="s">
        <v>44</v>
      </c>
      <c r="E141" s="5" t="s">
        <v>338</v>
      </c>
      <c r="F141" s="5" t="s">
        <v>79</v>
      </c>
      <c r="G141" s="5" t="s">
        <v>116</v>
      </c>
      <c r="H141" s="5" t="s">
        <v>174</v>
      </c>
      <c r="I141" s="5" t="n">
        <v>2</v>
      </c>
      <c r="J141" s="5" t="n">
        <v>5800</v>
      </c>
      <c r="K141" s="5" t="n">
        <v>0.05</v>
      </c>
      <c r="L141" s="5" t="s">
        <v>49</v>
      </c>
      <c r="M141" s="5"/>
      <c r="N141" s="5" t="s">
        <v>57</v>
      </c>
      <c r="O141" s="5"/>
      <c r="P141" s="7" t="n">
        <f aca="false">I141*J141*(1-K141)</f>
        <v>11020</v>
      </c>
      <c r="Q141" s="7" t="n">
        <f aca="false">INDEX(商品マスタ!$D:$D,MATCH(H141,商品マスタ!$A:$A,0))</f>
        <v>2900</v>
      </c>
      <c r="R141" s="7" t="n">
        <f aca="false">P141-I141*Q141</f>
        <v>5220</v>
      </c>
    </row>
    <row r="142" customFormat="false" ht="15" hidden="false" customHeight="true" outlineLevel="0" collapsed="false">
      <c r="A142" s="14" t="s">
        <v>339</v>
      </c>
      <c r="B142" s="15" t="n">
        <v>46050</v>
      </c>
      <c r="C142" s="5" t="s">
        <v>43</v>
      </c>
      <c r="D142" s="14" t="s">
        <v>70</v>
      </c>
      <c r="E142" s="5" t="s">
        <v>340</v>
      </c>
      <c r="F142" s="5" t="s">
        <v>79</v>
      </c>
      <c r="G142" s="5" t="s">
        <v>116</v>
      </c>
      <c r="H142" s="5" t="s">
        <v>174</v>
      </c>
      <c r="I142" s="5" t="n">
        <v>1</v>
      </c>
      <c r="J142" s="5" t="n">
        <v>5800</v>
      </c>
      <c r="K142" s="5" t="n">
        <v>0.05</v>
      </c>
      <c r="L142" s="14" t="s">
        <v>75</v>
      </c>
      <c r="M142" s="5"/>
      <c r="N142" s="5" t="s">
        <v>57</v>
      </c>
      <c r="O142" s="5"/>
      <c r="P142" s="7" t="n">
        <f aca="false">I142*J142*(1-K142)</f>
        <v>5510</v>
      </c>
      <c r="Q142" s="7" t="n">
        <f aca="false">INDEX(商品マスタ!$D:$D,MATCH(H142,商品マスタ!$A:$A,0))</f>
        <v>2900</v>
      </c>
      <c r="R142" s="7" t="n">
        <f aca="false">P142-I142*Q142</f>
        <v>2610</v>
      </c>
    </row>
    <row r="143" customFormat="false" ht="15" hidden="false" customHeight="true" outlineLevel="0" collapsed="false">
      <c r="A143" s="14" t="s">
        <v>341</v>
      </c>
      <c r="B143" s="15" t="n">
        <v>46039</v>
      </c>
      <c r="C143" s="5" t="s">
        <v>43</v>
      </c>
      <c r="D143" s="14" t="s">
        <v>70</v>
      </c>
      <c r="E143" s="5" t="s">
        <v>342</v>
      </c>
      <c r="F143" s="5" t="s">
        <v>79</v>
      </c>
      <c r="G143" s="5" t="s">
        <v>47</v>
      </c>
      <c r="H143" s="5" t="s">
        <v>48</v>
      </c>
      <c r="I143" s="5" t="n">
        <v>1</v>
      </c>
      <c r="J143" s="5" t="n">
        <v>980</v>
      </c>
      <c r="K143" s="5" t="n">
        <v>0</v>
      </c>
      <c r="L143" s="5" t="s">
        <v>56</v>
      </c>
      <c r="M143" s="5"/>
      <c r="N143" s="5" t="s">
        <v>57</v>
      </c>
      <c r="O143" s="5"/>
      <c r="P143" s="7" t="n">
        <f aca="false">I143*J143*(1-K143)</f>
        <v>980</v>
      </c>
      <c r="Q143" s="7" t="n">
        <f aca="false">INDEX(商品マスタ!$D:$D,MATCH(H143,商品マスタ!$A:$A,0))</f>
        <v>420</v>
      </c>
      <c r="R143" s="7" t="n">
        <f aca="false">P143-I143*Q143</f>
        <v>560</v>
      </c>
    </row>
    <row r="144" customFormat="false" ht="15" hidden="false" customHeight="true" outlineLevel="0" collapsed="false">
      <c r="A144" s="14" t="s">
        <v>343</v>
      </c>
      <c r="B144" s="15" t="n">
        <v>46052</v>
      </c>
      <c r="C144" s="5" t="s">
        <v>43</v>
      </c>
      <c r="D144" s="5" t="s">
        <v>44</v>
      </c>
      <c r="E144" s="5" t="s">
        <v>170</v>
      </c>
      <c r="F144" s="5" t="s">
        <v>79</v>
      </c>
      <c r="G144" s="5" t="s">
        <v>67</v>
      </c>
      <c r="H144" s="5" t="s">
        <v>68</v>
      </c>
      <c r="I144" s="5" t="n">
        <v>1</v>
      </c>
      <c r="J144" s="5" t="n">
        <v>1200</v>
      </c>
      <c r="K144" s="5" t="n">
        <v>0.1</v>
      </c>
      <c r="L144" s="5" t="s">
        <v>81</v>
      </c>
      <c r="M144" s="5"/>
      <c r="N144" s="5" t="s">
        <v>57</v>
      </c>
      <c r="O144" s="5"/>
      <c r="P144" s="7" t="n">
        <f aca="false">I144*J144*(1-K144)</f>
        <v>1080</v>
      </c>
      <c r="Q144" s="7" t="n">
        <f aca="false">INDEX(商品マスタ!$D:$D,MATCH(H144,商品マスタ!$A:$A,0))</f>
        <v>520</v>
      </c>
      <c r="R144" s="7" t="n">
        <f aca="false">P144-I144*Q144</f>
        <v>560</v>
      </c>
    </row>
    <row r="145" customFormat="false" ht="15" hidden="false" customHeight="true" outlineLevel="0" collapsed="false">
      <c r="A145" s="14" t="s">
        <v>344</v>
      </c>
      <c r="B145" s="15" t="n">
        <v>46023</v>
      </c>
      <c r="C145" s="5" t="s">
        <v>77</v>
      </c>
      <c r="D145" s="5" t="s">
        <v>44</v>
      </c>
      <c r="E145" s="5" t="s">
        <v>345</v>
      </c>
      <c r="F145" s="5" t="s">
        <v>61</v>
      </c>
      <c r="G145" s="5" t="s">
        <v>116</v>
      </c>
      <c r="H145" s="5" t="s">
        <v>120</v>
      </c>
      <c r="I145" s="5" t="n">
        <v>4</v>
      </c>
      <c r="J145" s="5" t="n">
        <v>3800</v>
      </c>
      <c r="K145" s="5" t="n">
        <v>0</v>
      </c>
      <c r="L145" s="5" t="s">
        <v>81</v>
      </c>
      <c r="M145" s="5"/>
      <c r="N145" s="5" t="s">
        <v>57</v>
      </c>
      <c r="O145" s="5"/>
      <c r="P145" s="7" t="n">
        <f aca="false">I145*J145*(1-K145)</f>
        <v>15200</v>
      </c>
      <c r="Q145" s="7" t="n">
        <f aca="false">INDEX(商品マスタ!$D:$D,MATCH(H145,商品マスタ!$A:$A,0))</f>
        <v>1900</v>
      </c>
      <c r="R145" s="7" t="n">
        <f aca="false">P145-I145*Q145</f>
        <v>7600</v>
      </c>
    </row>
    <row r="146" customFormat="false" ht="15" hidden="false" customHeight="true" outlineLevel="0" collapsed="false">
      <c r="A146" s="14" t="s">
        <v>346</v>
      </c>
      <c r="B146" s="15" t="n">
        <v>46035</v>
      </c>
      <c r="C146" s="5" t="s">
        <v>77</v>
      </c>
      <c r="D146" s="5" t="s">
        <v>44</v>
      </c>
      <c r="E146" s="5" t="s">
        <v>347</v>
      </c>
      <c r="F146" s="5" t="s">
        <v>79</v>
      </c>
      <c r="G146" s="5" t="s">
        <v>116</v>
      </c>
      <c r="H146" s="5" t="s">
        <v>120</v>
      </c>
      <c r="I146" s="5" t="n">
        <v>2</v>
      </c>
      <c r="J146" s="5" t="n">
        <v>3800</v>
      </c>
      <c r="K146" s="5" t="n">
        <v>0</v>
      </c>
      <c r="L146" s="5" t="s">
        <v>49</v>
      </c>
      <c r="M146" s="5"/>
      <c r="N146" s="5" t="s">
        <v>57</v>
      </c>
      <c r="O146" s="5"/>
      <c r="P146" s="7" t="n">
        <f aca="false">I146*J146*(1-K146)</f>
        <v>7600</v>
      </c>
      <c r="Q146" s="7" t="n">
        <f aca="false">INDEX(商品マスタ!$D:$D,MATCH(H146,商品マスタ!$A:$A,0))</f>
        <v>1900</v>
      </c>
      <c r="R146" s="7" t="n">
        <f aca="false">P146-I146*Q146</f>
        <v>3800</v>
      </c>
    </row>
    <row r="147" customFormat="false" ht="15" hidden="false" customHeight="true" outlineLevel="0" collapsed="false">
      <c r="A147" s="14" t="s">
        <v>348</v>
      </c>
      <c r="B147" s="15" t="n">
        <v>46051</v>
      </c>
      <c r="C147" s="5" t="s">
        <v>53</v>
      </c>
      <c r="D147" s="5" t="s">
        <v>44</v>
      </c>
      <c r="E147" s="5" t="s">
        <v>349</v>
      </c>
      <c r="F147" s="5" t="s">
        <v>79</v>
      </c>
      <c r="G147" s="5" t="s">
        <v>62</v>
      </c>
      <c r="H147" s="5" t="s">
        <v>85</v>
      </c>
      <c r="I147" s="5" t="n">
        <v>4</v>
      </c>
      <c r="J147" s="5" t="n">
        <v>3200</v>
      </c>
      <c r="K147" s="5" t="n">
        <v>0</v>
      </c>
      <c r="L147" s="5" t="s">
        <v>64</v>
      </c>
      <c r="M147" s="5"/>
      <c r="N147" s="5" t="s">
        <v>57</v>
      </c>
      <c r="O147" s="5"/>
      <c r="P147" s="7" t="n">
        <f aca="false">I147*J147*(1-K147)</f>
        <v>12800</v>
      </c>
      <c r="Q147" s="7" t="n">
        <f aca="false">INDEX(商品マスタ!$D:$D,MATCH(H147,商品マスタ!$A:$A,0))</f>
        <v>1600</v>
      </c>
      <c r="R147" s="7" t="n">
        <f aca="false">P147-I147*Q147</f>
        <v>6400</v>
      </c>
    </row>
    <row r="148" customFormat="false" ht="15" hidden="false" customHeight="true" outlineLevel="0" collapsed="false">
      <c r="A148" s="14" t="s">
        <v>350</v>
      </c>
      <c r="B148" s="15" t="n">
        <v>46042</v>
      </c>
      <c r="C148" s="5" t="s">
        <v>43</v>
      </c>
      <c r="D148" s="5" t="s">
        <v>44</v>
      </c>
      <c r="E148" s="5" t="s">
        <v>109</v>
      </c>
      <c r="F148" s="5" t="s">
        <v>79</v>
      </c>
      <c r="G148" s="5" t="s">
        <v>47</v>
      </c>
      <c r="H148" s="5" t="s">
        <v>55</v>
      </c>
      <c r="I148" s="5" t="n">
        <v>1</v>
      </c>
      <c r="J148" s="5" t="n">
        <v>1500</v>
      </c>
      <c r="K148" s="5" t="n">
        <v>0.05</v>
      </c>
      <c r="L148" s="5" t="s">
        <v>81</v>
      </c>
      <c r="M148" s="5"/>
      <c r="N148" s="5" t="s">
        <v>57</v>
      </c>
      <c r="O148" s="5"/>
      <c r="P148" s="7" t="n">
        <f aca="false">I148*J148*(1-K148)</f>
        <v>1425</v>
      </c>
      <c r="Q148" s="7" t="n">
        <f aca="false">INDEX(商品マスタ!$D:$D,MATCH(H148,商品マスタ!$A:$A,0))</f>
        <v>680</v>
      </c>
      <c r="R148" s="7" t="n">
        <f aca="false">P148-I148*Q148</f>
        <v>745</v>
      </c>
    </row>
    <row r="149" customFormat="false" ht="15" hidden="false" customHeight="true" outlineLevel="0" collapsed="false">
      <c r="A149" s="14" t="s">
        <v>351</v>
      </c>
      <c r="B149" s="15" t="n">
        <v>46034</v>
      </c>
      <c r="C149" s="5" t="s">
        <v>53</v>
      </c>
      <c r="D149" s="5" t="s">
        <v>44</v>
      </c>
      <c r="E149" s="5" t="s">
        <v>352</v>
      </c>
      <c r="F149" s="5"/>
      <c r="G149" s="5" t="s">
        <v>47</v>
      </c>
      <c r="H149" s="5" t="s">
        <v>74</v>
      </c>
      <c r="I149" s="5" t="n">
        <v>2</v>
      </c>
      <c r="J149" s="5" t="n">
        <v>880</v>
      </c>
      <c r="K149" s="5" t="n">
        <v>0</v>
      </c>
      <c r="L149" s="5" t="s">
        <v>64</v>
      </c>
      <c r="M149" s="5"/>
      <c r="N149" s="5" t="s">
        <v>57</v>
      </c>
      <c r="O149" s="5"/>
      <c r="P149" s="7" t="n">
        <f aca="false">I149*J149*(1-K149)</f>
        <v>1760</v>
      </c>
      <c r="Q149" s="7" t="n">
        <f aca="false">INDEX(商品マスタ!$D:$D,MATCH(H149,商品マスタ!$A:$A,0))</f>
        <v>360</v>
      </c>
      <c r="R149" s="7" t="n">
        <f aca="false">P149-I149*Q149</f>
        <v>1040</v>
      </c>
    </row>
    <row r="150" customFormat="false" ht="15" hidden="false" customHeight="true" outlineLevel="0" collapsed="false">
      <c r="A150" s="14" t="s">
        <v>353</v>
      </c>
      <c r="B150" s="15" t="n">
        <v>46050</v>
      </c>
      <c r="C150" s="5" t="s">
        <v>53</v>
      </c>
      <c r="D150" s="5" t="s">
        <v>44</v>
      </c>
      <c r="E150" s="5" t="s">
        <v>354</v>
      </c>
      <c r="F150" s="5" t="s">
        <v>79</v>
      </c>
      <c r="G150" s="5" t="s">
        <v>116</v>
      </c>
      <c r="H150" s="5" t="s">
        <v>120</v>
      </c>
      <c r="I150" s="5" t="n">
        <v>4</v>
      </c>
      <c r="J150" s="5" t="n">
        <v>3800</v>
      </c>
      <c r="K150" s="5" t="n">
        <v>0</v>
      </c>
      <c r="L150" s="14" t="s">
        <v>75</v>
      </c>
      <c r="M150" s="5" t="s">
        <v>50</v>
      </c>
      <c r="N150" s="5" t="s">
        <v>51</v>
      </c>
      <c r="O150" s="5"/>
      <c r="P150" s="7" t="n">
        <f aca="false">I150*J150*(1-K150)</f>
        <v>15200</v>
      </c>
      <c r="Q150" s="7" t="n">
        <f aca="false">INDEX(商品マスタ!$D:$D,MATCH(H150,商品マスタ!$A:$A,0))</f>
        <v>1900</v>
      </c>
      <c r="R150" s="7" t="n">
        <f aca="false">P150-I150*Q150</f>
        <v>7600</v>
      </c>
    </row>
    <row r="151" customFormat="false" ht="15" hidden="false" customHeight="true" outlineLevel="0" collapsed="false">
      <c r="A151" s="14" t="s">
        <v>355</v>
      </c>
      <c r="B151" s="15" t="n">
        <v>46040</v>
      </c>
      <c r="C151" s="5" t="s">
        <v>59</v>
      </c>
      <c r="D151" s="14" t="s">
        <v>70</v>
      </c>
      <c r="E151" s="5" t="s">
        <v>356</v>
      </c>
      <c r="F151" s="5" t="s">
        <v>61</v>
      </c>
      <c r="G151" s="5" t="s">
        <v>47</v>
      </c>
      <c r="H151" s="5" t="s">
        <v>74</v>
      </c>
      <c r="I151" s="5" t="n">
        <v>4</v>
      </c>
      <c r="J151" s="5" t="n">
        <v>880</v>
      </c>
      <c r="K151" s="5" t="n">
        <v>0</v>
      </c>
      <c r="L151" s="5" t="s">
        <v>49</v>
      </c>
      <c r="M151" s="5"/>
      <c r="N151" s="5" t="s">
        <v>57</v>
      </c>
      <c r="O151" s="5"/>
      <c r="P151" s="7" t="n">
        <f aca="false">I151*J151*(1-K151)</f>
        <v>3520</v>
      </c>
      <c r="Q151" s="7" t="n">
        <f aca="false">INDEX(商品マスタ!$D:$D,MATCH(H151,商品マスタ!$A:$A,0))</f>
        <v>360</v>
      </c>
      <c r="R151" s="7" t="n">
        <f aca="false">P151-I151*Q151</f>
        <v>2080</v>
      </c>
    </row>
    <row r="152" customFormat="false" ht="15" hidden="false" customHeight="true" outlineLevel="0" collapsed="false">
      <c r="A152" s="14" t="s">
        <v>357</v>
      </c>
      <c r="B152" s="15" t="n">
        <v>46048</v>
      </c>
      <c r="C152" s="5" t="s">
        <v>53</v>
      </c>
      <c r="D152" s="14" t="s">
        <v>70</v>
      </c>
      <c r="E152" s="5" t="s">
        <v>358</v>
      </c>
      <c r="F152" s="5" t="s">
        <v>61</v>
      </c>
      <c r="G152" s="5" t="s">
        <v>67</v>
      </c>
      <c r="H152" s="5" t="s">
        <v>106</v>
      </c>
      <c r="I152" s="5" t="n">
        <v>3</v>
      </c>
      <c r="J152" s="5" t="n">
        <v>1400</v>
      </c>
      <c r="K152" s="5" t="n">
        <v>0.1</v>
      </c>
      <c r="L152" s="14" t="s">
        <v>75</v>
      </c>
      <c r="M152" s="5"/>
      <c r="N152" s="5" t="s">
        <v>57</v>
      </c>
      <c r="O152" s="5"/>
      <c r="P152" s="7" t="n">
        <f aca="false">I152*J152*(1-K152)</f>
        <v>3780</v>
      </c>
      <c r="Q152" s="7" t="n">
        <f aca="false">INDEX(商品マスタ!$D:$D,MATCH(H152,商品マスタ!$A:$A,0))</f>
        <v>610</v>
      </c>
      <c r="R152" s="7" t="n">
        <f aca="false">P152-I152*Q152</f>
        <v>1950</v>
      </c>
    </row>
    <row r="153" customFormat="false" ht="15" hidden="false" customHeight="true" outlineLevel="0" collapsed="false">
      <c r="A153" s="14" t="s">
        <v>359</v>
      </c>
      <c r="B153" s="15" t="n">
        <v>46051</v>
      </c>
      <c r="C153" s="5" t="s">
        <v>43</v>
      </c>
      <c r="D153" s="5" t="s">
        <v>44</v>
      </c>
      <c r="E153" s="5" t="s">
        <v>360</v>
      </c>
      <c r="F153" s="5" t="s">
        <v>79</v>
      </c>
      <c r="G153" s="5" t="s">
        <v>62</v>
      </c>
      <c r="H153" s="5" t="s">
        <v>80</v>
      </c>
      <c r="I153" s="5" t="n">
        <v>1</v>
      </c>
      <c r="J153" s="5" t="n">
        <v>2800</v>
      </c>
      <c r="K153" s="5" t="n">
        <v>0.05</v>
      </c>
      <c r="L153" s="14" t="s">
        <v>125</v>
      </c>
      <c r="M153" s="5"/>
      <c r="N153" s="5" t="s">
        <v>57</v>
      </c>
      <c r="O153" s="5"/>
      <c r="P153" s="7" t="n">
        <f aca="false">I153*J153*(1-K153)</f>
        <v>2660</v>
      </c>
      <c r="Q153" s="7" t="n">
        <f aca="false">INDEX(商品マスタ!$D:$D,MATCH(H153,商品マスタ!$A:$A,0))</f>
        <v>1400</v>
      </c>
      <c r="R153" s="7" t="n">
        <f aca="false">P153-I153*Q153</f>
        <v>1260</v>
      </c>
    </row>
    <row r="154" customFormat="false" ht="15" hidden="false" customHeight="true" outlineLevel="0" collapsed="false">
      <c r="A154" s="14" t="s">
        <v>361</v>
      </c>
      <c r="B154" s="15" t="n">
        <v>46051</v>
      </c>
      <c r="C154" s="5" t="s">
        <v>53</v>
      </c>
      <c r="D154" s="14" t="s">
        <v>70</v>
      </c>
      <c r="E154" s="5" t="s">
        <v>362</v>
      </c>
      <c r="F154" s="5" t="s">
        <v>79</v>
      </c>
      <c r="G154" s="5" t="s">
        <v>116</v>
      </c>
      <c r="H154" s="5" t="s">
        <v>174</v>
      </c>
      <c r="I154" s="5" t="n">
        <v>1</v>
      </c>
      <c r="J154" s="5" t="n">
        <v>5800</v>
      </c>
      <c r="K154" s="5" t="n">
        <v>0</v>
      </c>
      <c r="L154" s="5" t="s">
        <v>81</v>
      </c>
      <c r="M154" s="5"/>
      <c r="N154" s="5" t="s">
        <v>57</v>
      </c>
      <c r="O154" s="5"/>
      <c r="P154" s="7" t="n">
        <f aca="false">I154*J154*(1-K154)</f>
        <v>5800</v>
      </c>
      <c r="Q154" s="7" t="n">
        <f aca="false">INDEX(商品マスタ!$D:$D,MATCH(H154,商品マスタ!$A:$A,0))</f>
        <v>2900</v>
      </c>
      <c r="R154" s="7" t="n">
        <f aca="false">P154-I154*Q154</f>
        <v>2900</v>
      </c>
    </row>
    <row r="155" customFormat="false" ht="15" hidden="false" customHeight="true" outlineLevel="0" collapsed="false">
      <c r="A155" s="14" t="s">
        <v>363</v>
      </c>
      <c r="B155" s="15" t="n">
        <v>46049</v>
      </c>
      <c r="C155" s="5" t="s">
        <v>59</v>
      </c>
      <c r="D155" s="5" t="s">
        <v>44</v>
      </c>
      <c r="E155" s="5" t="s">
        <v>364</v>
      </c>
      <c r="F155" s="5" t="s">
        <v>61</v>
      </c>
      <c r="G155" s="5" t="s">
        <v>47</v>
      </c>
      <c r="H155" s="5" t="s">
        <v>74</v>
      </c>
      <c r="I155" s="5" t="n">
        <v>1</v>
      </c>
      <c r="J155" s="5" t="n">
        <v>880</v>
      </c>
      <c r="K155" s="5" t="n">
        <v>0.1</v>
      </c>
      <c r="L155" s="5" t="s">
        <v>64</v>
      </c>
      <c r="M155" s="5"/>
      <c r="N155" s="5" t="s">
        <v>57</v>
      </c>
      <c r="O155" s="5"/>
      <c r="P155" s="7" t="n">
        <f aca="false">I155*J155*(1-K155)</f>
        <v>792</v>
      </c>
      <c r="Q155" s="7" t="n">
        <f aca="false">INDEX(商品マスタ!$D:$D,MATCH(H155,商品マスタ!$A:$A,0))</f>
        <v>360</v>
      </c>
      <c r="R155" s="7" t="n">
        <f aca="false">P155-I155*Q155</f>
        <v>432</v>
      </c>
    </row>
    <row r="156" customFormat="false" ht="15" hidden="false" customHeight="true" outlineLevel="0" collapsed="false">
      <c r="A156" s="14" t="s">
        <v>365</v>
      </c>
      <c r="B156" s="15" t="n">
        <v>46052</v>
      </c>
      <c r="C156" s="5" t="s">
        <v>59</v>
      </c>
      <c r="D156" s="5" t="s">
        <v>44</v>
      </c>
      <c r="E156" s="5" t="s">
        <v>320</v>
      </c>
      <c r="F156" s="5" t="s">
        <v>61</v>
      </c>
      <c r="G156" s="5" t="s">
        <v>62</v>
      </c>
      <c r="H156" s="5" t="s">
        <v>63</v>
      </c>
      <c r="I156" s="5" t="n">
        <v>1</v>
      </c>
      <c r="J156" s="5" t="n">
        <v>480</v>
      </c>
      <c r="K156" s="5" t="n">
        <v>0</v>
      </c>
      <c r="L156" s="5" t="s">
        <v>49</v>
      </c>
      <c r="M156" s="5"/>
      <c r="N156" s="5" t="s">
        <v>57</v>
      </c>
      <c r="O156" s="5"/>
      <c r="P156" s="7" t="n">
        <f aca="false">I156*J156*(1-K156)</f>
        <v>480</v>
      </c>
      <c r="Q156" s="7" t="n">
        <f aca="false">INDEX(商品マスタ!$D:$D,MATCH(H156,商品マスタ!$A:$A,0))</f>
        <v>180</v>
      </c>
      <c r="R156" s="7" t="n">
        <f aca="false">P156-I156*Q156</f>
        <v>300</v>
      </c>
    </row>
    <row r="157" customFormat="false" ht="15" hidden="false" customHeight="true" outlineLevel="0" collapsed="false">
      <c r="A157" s="14" t="s">
        <v>366</v>
      </c>
      <c r="B157" s="15" t="n">
        <v>46036</v>
      </c>
      <c r="C157" s="5" t="s">
        <v>77</v>
      </c>
      <c r="D157" s="14" t="s">
        <v>70</v>
      </c>
      <c r="E157" s="5" t="s">
        <v>367</v>
      </c>
      <c r="F157" s="5" t="s">
        <v>79</v>
      </c>
      <c r="G157" s="5" t="s">
        <v>62</v>
      </c>
      <c r="H157" s="5" t="s">
        <v>63</v>
      </c>
      <c r="I157" s="5" t="n">
        <v>4</v>
      </c>
      <c r="J157" s="5" t="n">
        <v>480</v>
      </c>
      <c r="K157" s="5" t="n">
        <v>0</v>
      </c>
      <c r="L157" s="5" t="s">
        <v>81</v>
      </c>
      <c r="M157" s="5"/>
      <c r="N157" s="5" t="s">
        <v>57</v>
      </c>
      <c r="O157" s="5"/>
      <c r="P157" s="7" t="n">
        <f aca="false">I157*J157*(1-K157)</f>
        <v>1920</v>
      </c>
      <c r="Q157" s="7" t="n">
        <f aca="false">INDEX(商品マスタ!$D:$D,MATCH(H157,商品マスタ!$A:$A,0))</f>
        <v>180</v>
      </c>
      <c r="R157" s="7" t="n">
        <f aca="false">P157-I157*Q157</f>
        <v>1200</v>
      </c>
    </row>
    <row r="158" customFormat="false" ht="15" hidden="false" customHeight="true" outlineLevel="0" collapsed="false">
      <c r="A158" s="14" t="s">
        <v>368</v>
      </c>
      <c r="B158" s="15" t="n">
        <v>46040</v>
      </c>
      <c r="C158" s="5" t="s">
        <v>53</v>
      </c>
      <c r="D158" s="5" t="s">
        <v>44</v>
      </c>
      <c r="E158" s="5" t="s">
        <v>369</v>
      </c>
      <c r="F158" s="5" t="s">
        <v>61</v>
      </c>
      <c r="G158" s="5" t="s">
        <v>47</v>
      </c>
      <c r="H158" s="5" t="s">
        <v>48</v>
      </c>
      <c r="I158" s="5" t="n">
        <v>4</v>
      </c>
      <c r="J158" s="5" t="n">
        <v>980</v>
      </c>
      <c r="K158" s="5" t="n">
        <v>0</v>
      </c>
      <c r="L158" s="5" t="s">
        <v>56</v>
      </c>
      <c r="M158" s="5"/>
      <c r="N158" s="5" t="s">
        <v>57</v>
      </c>
      <c r="O158" s="5"/>
      <c r="P158" s="7" t="n">
        <f aca="false">I158*J158*(1-K158)</f>
        <v>3920</v>
      </c>
      <c r="Q158" s="7" t="n">
        <f aca="false">INDEX(商品マスタ!$D:$D,MATCH(H158,商品マスタ!$A:$A,0))</f>
        <v>420</v>
      </c>
      <c r="R158" s="7" t="n">
        <f aca="false">P158-I158*Q158</f>
        <v>2240</v>
      </c>
    </row>
    <row r="159" customFormat="false" ht="15" hidden="false" customHeight="true" outlineLevel="0" collapsed="false">
      <c r="A159" s="14" t="s">
        <v>370</v>
      </c>
      <c r="B159" s="15" t="n">
        <v>46034</v>
      </c>
      <c r="C159" s="5" t="s">
        <v>77</v>
      </c>
      <c r="D159" s="14" t="s">
        <v>70</v>
      </c>
      <c r="E159" s="5" t="s">
        <v>234</v>
      </c>
      <c r="F159" s="5" t="s">
        <v>46</v>
      </c>
      <c r="G159" s="5" t="s">
        <v>67</v>
      </c>
      <c r="H159" s="5" t="s">
        <v>68</v>
      </c>
      <c r="I159" s="5" t="n">
        <v>5</v>
      </c>
      <c r="J159" s="5" t="n">
        <v>1200</v>
      </c>
      <c r="K159" s="5" t="n">
        <v>0.1</v>
      </c>
      <c r="L159" s="5" t="s">
        <v>49</v>
      </c>
      <c r="M159" s="5"/>
      <c r="N159" s="5" t="s">
        <v>57</v>
      </c>
      <c r="O159" s="5"/>
      <c r="P159" s="7" t="n">
        <f aca="false">I159*J159*(1-K159)</f>
        <v>5400</v>
      </c>
      <c r="Q159" s="7" t="n">
        <f aca="false">INDEX(商品マスタ!$D:$D,MATCH(H159,商品マスタ!$A:$A,0))</f>
        <v>520</v>
      </c>
      <c r="R159" s="7" t="n">
        <f aca="false">P159-I159*Q159</f>
        <v>2800</v>
      </c>
    </row>
    <row r="160" customFormat="false" ht="15" hidden="false" customHeight="true" outlineLevel="0" collapsed="false">
      <c r="A160" s="14" t="s">
        <v>371</v>
      </c>
      <c r="B160" s="15" t="n">
        <v>46040</v>
      </c>
      <c r="C160" s="5" t="s">
        <v>53</v>
      </c>
      <c r="D160" s="14" t="s">
        <v>70</v>
      </c>
      <c r="E160" s="5" t="s">
        <v>338</v>
      </c>
      <c r="F160" s="5" t="s">
        <v>61</v>
      </c>
      <c r="G160" s="5" t="s">
        <v>62</v>
      </c>
      <c r="H160" s="5" t="s">
        <v>80</v>
      </c>
      <c r="I160" s="5" t="n">
        <v>2</v>
      </c>
      <c r="J160" s="5" t="n">
        <v>2800</v>
      </c>
      <c r="K160" s="5" t="n">
        <v>0</v>
      </c>
      <c r="L160" s="5" t="s">
        <v>49</v>
      </c>
      <c r="M160" s="5"/>
      <c r="N160" s="5" t="s">
        <v>57</v>
      </c>
      <c r="O160" s="5"/>
      <c r="P160" s="7" t="n">
        <f aca="false">I160*J160*(1-K160)</f>
        <v>5600</v>
      </c>
      <c r="Q160" s="7" t="n">
        <f aca="false">INDEX(商品マスタ!$D:$D,MATCH(H160,商品マスタ!$A:$A,0))</f>
        <v>1400</v>
      </c>
      <c r="R160" s="7" t="n">
        <f aca="false">P160-I160*Q160</f>
        <v>2800</v>
      </c>
    </row>
    <row r="161" customFormat="false" ht="15" hidden="false" customHeight="true" outlineLevel="0" collapsed="false">
      <c r="A161" s="14" t="s">
        <v>372</v>
      </c>
      <c r="B161" s="15" t="n">
        <v>46050</v>
      </c>
      <c r="C161" s="5" t="s">
        <v>59</v>
      </c>
      <c r="D161" s="14" t="s">
        <v>70</v>
      </c>
      <c r="E161" s="14" t="s">
        <v>54</v>
      </c>
      <c r="F161" s="5" t="s">
        <v>46</v>
      </c>
      <c r="G161" s="5" t="s">
        <v>47</v>
      </c>
      <c r="H161" s="5" t="s">
        <v>48</v>
      </c>
      <c r="I161" s="5" t="n">
        <v>20</v>
      </c>
      <c r="J161" s="5" t="n">
        <v>980</v>
      </c>
      <c r="K161" s="5" t="n">
        <v>0</v>
      </c>
      <c r="L161" s="5" t="s">
        <v>81</v>
      </c>
      <c r="M161" s="5" t="s">
        <v>183</v>
      </c>
      <c r="N161" s="5" t="s">
        <v>51</v>
      </c>
      <c r="O161" s="5"/>
      <c r="P161" s="7" t="n">
        <f aca="false">I161*J161*(1-K161)</f>
        <v>19600</v>
      </c>
      <c r="Q161" s="7" t="n">
        <f aca="false">INDEX(商品マスタ!$D:$D,MATCH(H161,商品マスタ!$A:$A,0))</f>
        <v>420</v>
      </c>
      <c r="R161" s="7" t="n">
        <f aca="false">P161-I161*Q161</f>
        <v>11200</v>
      </c>
    </row>
    <row r="162" customFormat="false" ht="15" hidden="false" customHeight="true" outlineLevel="0" collapsed="false">
      <c r="A162" s="14" t="s">
        <v>373</v>
      </c>
      <c r="B162" s="15" t="n">
        <v>46033</v>
      </c>
      <c r="C162" s="5" t="s">
        <v>59</v>
      </c>
      <c r="D162" s="5" t="s">
        <v>44</v>
      </c>
      <c r="E162" s="5" t="s">
        <v>374</v>
      </c>
      <c r="F162" s="5"/>
      <c r="G162" s="5" t="s">
        <v>62</v>
      </c>
      <c r="H162" s="5" t="s">
        <v>93</v>
      </c>
      <c r="I162" s="5" t="n">
        <v>4</v>
      </c>
      <c r="J162" s="5" t="n">
        <v>9800</v>
      </c>
      <c r="K162" s="5" t="n">
        <v>0</v>
      </c>
      <c r="L162" s="5" t="s">
        <v>56</v>
      </c>
      <c r="M162" s="5"/>
      <c r="N162" s="5" t="s">
        <v>57</v>
      </c>
      <c r="O162" s="5"/>
      <c r="P162" s="7" t="n">
        <f aca="false">I162*J162*(1-K162)</f>
        <v>39200</v>
      </c>
      <c r="Q162" s="7" t="n">
        <f aca="false">INDEX(商品マスタ!$D:$D,MATCH(H162,商品マスタ!$A:$A,0))</f>
        <v>5400</v>
      </c>
      <c r="R162" s="7" t="n">
        <f aca="false">P162-I162*Q162</f>
        <v>17600</v>
      </c>
    </row>
    <row r="163" customFormat="false" ht="15" hidden="false" customHeight="true" outlineLevel="0" collapsed="false">
      <c r="A163" s="14" t="s">
        <v>375</v>
      </c>
      <c r="B163" s="15" t="n">
        <v>46025</v>
      </c>
      <c r="C163" s="5" t="s">
        <v>83</v>
      </c>
      <c r="D163" s="5" t="s">
        <v>44</v>
      </c>
      <c r="E163" s="5" t="s">
        <v>376</v>
      </c>
      <c r="F163" s="5" t="s">
        <v>61</v>
      </c>
      <c r="G163" s="5" t="s">
        <v>67</v>
      </c>
      <c r="H163" s="5" t="s">
        <v>68</v>
      </c>
      <c r="I163" s="5" t="n">
        <v>4</v>
      </c>
      <c r="J163" s="5" t="n">
        <v>1200</v>
      </c>
      <c r="K163" s="5" t="n">
        <v>0</v>
      </c>
      <c r="L163" s="5" t="s">
        <v>49</v>
      </c>
      <c r="M163" s="5"/>
      <c r="N163" s="5" t="s">
        <v>57</v>
      </c>
      <c r="O163" s="5"/>
      <c r="P163" s="7" t="n">
        <f aca="false">I163*J163*(1-K163)</f>
        <v>4800</v>
      </c>
      <c r="Q163" s="7" t="n">
        <f aca="false">INDEX(商品マスタ!$D:$D,MATCH(H163,商品マスタ!$A:$A,0))</f>
        <v>520</v>
      </c>
      <c r="R163" s="7" t="n">
        <f aca="false">P163-I163*Q163</f>
        <v>2720</v>
      </c>
    </row>
    <row r="164" customFormat="false" ht="15" hidden="false" customHeight="true" outlineLevel="0" collapsed="false">
      <c r="A164" s="14" t="s">
        <v>377</v>
      </c>
      <c r="B164" s="15" t="n">
        <v>46030</v>
      </c>
      <c r="C164" s="5" t="s">
        <v>59</v>
      </c>
      <c r="D164" s="14" t="s">
        <v>70</v>
      </c>
      <c r="E164" s="5" t="s">
        <v>190</v>
      </c>
      <c r="F164" s="5" t="s">
        <v>79</v>
      </c>
      <c r="G164" s="5" t="s">
        <v>47</v>
      </c>
      <c r="H164" s="5" t="s">
        <v>55</v>
      </c>
      <c r="I164" s="5" t="n">
        <v>1</v>
      </c>
      <c r="J164" s="5" t="n">
        <v>1500</v>
      </c>
      <c r="K164" s="5" t="n">
        <v>0</v>
      </c>
      <c r="L164" s="5" t="s">
        <v>81</v>
      </c>
      <c r="M164" s="5"/>
      <c r="N164" s="5" t="s">
        <v>57</v>
      </c>
      <c r="O164" s="5"/>
      <c r="P164" s="7" t="n">
        <f aca="false">I164*J164*(1-K164)</f>
        <v>1500</v>
      </c>
      <c r="Q164" s="7" t="n">
        <f aca="false">INDEX(商品マスタ!$D:$D,MATCH(H164,商品マスタ!$A:$A,0))</f>
        <v>680</v>
      </c>
      <c r="R164" s="7" t="n">
        <f aca="false">P164-I164*Q164</f>
        <v>820</v>
      </c>
    </row>
    <row r="165" customFormat="false" ht="15" hidden="false" customHeight="true" outlineLevel="0" collapsed="false">
      <c r="A165" s="14" t="s">
        <v>378</v>
      </c>
      <c r="B165" s="15" t="n">
        <v>46051</v>
      </c>
      <c r="C165" s="5" t="s">
        <v>59</v>
      </c>
      <c r="D165" s="5" t="s">
        <v>44</v>
      </c>
      <c r="E165" s="5" t="s">
        <v>379</v>
      </c>
      <c r="F165" s="5" t="s">
        <v>79</v>
      </c>
      <c r="G165" s="5" t="s">
        <v>47</v>
      </c>
      <c r="H165" s="5" t="s">
        <v>55</v>
      </c>
      <c r="I165" s="5" t="n">
        <v>1</v>
      </c>
      <c r="J165" s="5" t="n">
        <v>1500</v>
      </c>
      <c r="K165" s="5" t="n">
        <v>0.05</v>
      </c>
      <c r="L165" s="5" t="s">
        <v>56</v>
      </c>
      <c r="M165" s="5"/>
      <c r="N165" s="5" t="s">
        <v>57</v>
      </c>
      <c r="O165" s="5"/>
      <c r="P165" s="7" t="n">
        <f aca="false">I165*J165*(1-K165)</f>
        <v>1425</v>
      </c>
      <c r="Q165" s="7" t="n">
        <f aca="false">INDEX(商品マスタ!$D:$D,MATCH(H165,商品マスタ!$A:$A,0))</f>
        <v>680</v>
      </c>
      <c r="R165" s="7" t="n">
        <f aca="false">P165-I165*Q165</f>
        <v>745</v>
      </c>
    </row>
    <row r="166" customFormat="false" ht="15" hidden="false" customHeight="true" outlineLevel="0" collapsed="false">
      <c r="A166" s="14" t="s">
        <v>380</v>
      </c>
      <c r="B166" s="15" t="n">
        <v>46049</v>
      </c>
      <c r="C166" s="5" t="s">
        <v>83</v>
      </c>
      <c r="D166" s="5" t="s">
        <v>44</v>
      </c>
      <c r="E166" s="5" t="s">
        <v>201</v>
      </c>
      <c r="F166" s="5" t="s">
        <v>46</v>
      </c>
      <c r="G166" s="5" t="s">
        <v>116</v>
      </c>
      <c r="H166" s="5" t="s">
        <v>117</v>
      </c>
      <c r="I166" s="5" t="n">
        <v>10</v>
      </c>
      <c r="J166" s="16" t="n">
        <v>1800</v>
      </c>
      <c r="K166" s="5" t="n">
        <v>0</v>
      </c>
      <c r="L166" s="5" t="s">
        <v>64</v>
      </c>
      <c r="M166" s="5"/>
      <c r="N166" s="5" t="s">
        <v>57</v>
      </c>
      <c r="O166" s="5" t="s">
        <v>159</v>
      </c>
      <c r="P166" s="7" t="n">
        <f aca="false">I166*J166*(1-K166)</f>
        <v>18000</v>
      </c>
      <c r="Q166" s="7" t="n">
        <f aca="false">INDEX(商品マスタ!$D:$D,MATCH(H166,商品マスタ!$A:$A,0))</f>
        <v>760</v>
      </c>
      <c r="R166" s="7" t="n">
        <f aca="false">P166-I166*Q166</f>
        <v>10400</v>
      </c>
    </row>
    <row r="167" customFormat="false" ht="15" hidden="false" customHeight="true" outlineLevel="0" collapsed="false">
      <c r="A167" s="14" t="s">
        <v>381</v>
      </c>
      <c r="B167" s="15" t="n">
        <v>46031</v>
      </c>
      <c r="C167" s="5" t="s">
        <v>59</v>
      </c>
      <c r="D167" s="5" t="s">
        <v>44</v>
      </c>
      <c r="E167" s="5" t="s">
        <v>313</v>
      </c>
      <c r="F167" s="5"/>
      <c r="G167" s="5" t="s">
        <v>67</v>
      </c>
      <c r="H167" s="5" t="s">
        <v>179</v>
      </c>
      <c r="I167" s="5" t="n">
        <v>2</v>
      </c>
      <c r="J167" s="5" t="n">
        <v>1600</v>
      </c>
      <c r="K167" s="5" t="n">
        <v>0.05</v>
      </c>
      <c r="L167" s="5" t="s">
        <v>81</v>
      </c>
      <c r="M167" s="5"/>
      <c r="N167" s="5" t="s">
        <v>57</v>
      </c>
      <c r="O167" s="5"/>
      <c r="P167" s="7" t="n">
        <f aca="false">I167*J167*(1-K167)</f>
        <v>3040</v>
      </c>
      <c r="Q167" s="7" t="n">
        <f aca="false">INDEX(商品マスタ!$D:$D,MATCH(H167,商品マスタ!$A:$A,0))</f>
        <v>700</v>
      </c>
      <c r="R167" s="7" t="n">
        <f aca="false">P167-I167*Q167</f>
        <v>1640</v>
      </c>
    </row>
    <row r="168" customFormat="false" ht="15" hidden="false" customHeight="true" outlineLevel="0" collapsed="false">
      <c r="A168" s="14" t="s">
        <v>382</v>
      </c>
      <c r="B168" s="15" t="n">
        <v>46049</v>
      </c>
      <c r="C168" s="5" t="s">
        <v>53</v>
      </c>
      <c r="D168" s="5" t="s">
        <v>44</v>
      </c>
      <c r="E168" s="5" t="s">
        <v>383</v>
      </c>
      <c r="F168" s="5" t="s">
        <v>79</v>
      </c>
      <c r="G168" s="5" t="s">
        <v>62</v>
      </c>
      <c r="H168" s="5" t="s">
        <v>63</v>
      </c>
      <c r="I168" s="5" t="n">
        <v>4</v>
      </c>
      <c r="J168" s="5" t="n">
        <v>480</v>
      </c>
      <c r="K168" s="5" t="n">
        <v>0.05</v>
      </c>
      <c r="L168" s="5" t="s">
        <v>49</v>
      </c>
      <c r="M168" s="5"/>
      <c r="N168" s="5" t="s">
        <v>57</v>
      </c>
      <c r="O168" s="5"/>
      <c r="P168" s="7" t="n">
        <f aca="false">I168*J168*(1-K168)</f>
        <v>1824</v>
      </c>
      <c r="Q168" s="7" t="n">
        <f aca="false">INDEX(商品マスタ!$D:$D,MATCH(H168,商品マスタ!$A:$A,0))</f>
        <v>180</v>
      </c>
      <c r="R168" s="7" t="n">
        <f aca="false">P168-I168*Q168</f>
        <v>1104</v>
      </c>
    </row>
    <row r="169" customFormat="false" ht="15" hidden="false" customHeight="true" outlineLevel="0" collapsed="false">
      <c r="A169" s="14" t="s">
        <v>384</v>
      </c>
      <c r="B169" s="15" t="n">
        <v>46041</v>
      </c>
      <c r="C169" s="5" t="s">
        <v>83</v>
      </c>
      <c r="D169" s="5" t="s">
        <v>44</v>
      </c>
      <c r="E169" s="5" t="s">
        <v>362</v>
      </c>
      <c r="F169" s="5" t="s">
        <v>79</v>
      </c>
      <c r="G169" s="5" t="s">
        <v>116</v>
      </c>
      <c r="H169" s="5" t="s">
        <v>174</v>
      </c>
      <c r="I169" s="5" t="n">
        <v>4</v>
      </c>
      <c r="J169" s="5" t="n">
        <v>5800</v>
      </c>
      <c r="K169" s="5" t="n">
        <v>0</v>
      </c>
      <c r="L169" s="5" t="s">
        <v>81</v>
      </c>
      <c r="M169" s="5"/>
      <c r="N169" s="5" t="s">
        <v>57</v>
      </c>
      <c r="O169" s="5"/>
      <c r="P169" s="7" t="n">
        <f aca="false">I169*J169*(1-K169)</f>
        <v>23200</v>
      </c>
      <c r="Q169" s="7" t="n">
        <f aca="false">INDEX(商品マスタ!$D:$D,MATCH(H169,商品マスタ!$A:$A,0))</f>
        <v>2900</v>
      </c>
      <c r="R169" s="7" t="n">
        <f aca="false">P169-I169*Q169</f>
        <v>11600</v>
      </c>
    </row>
    <row r="170" customFormat="false" ht="15" hidden="false" customHeight="true" outlineLevel="0" collapsed="false">
      <c r="A170" s="14" t="s">
        <v>385</v>
      </c>
      <c r="B170" s="15" t="n">
        <v>46029</v>
      </c>
      <c r="C170" s="5" t="s">
        <v>53</v>
      </c>
      <c r="D170" s="5" t="s">
        <v>44</v>
      </c>
      <c r="E170" s="5" t="s">
        <v>386</v>
      </c>
      <c r="F170" s="5"/>
      <c r="G170" s="5" t="s">
        <v>116</v>
      </c>
      <c r="H170" s="5" t="s">
        <v>117</v>
      </c>
      <c r="I170" s="5" t="n">
        <v>1</v>
      </c>
      <c r="J170" s="5" t="n">
        <v>1800</v>
      </c>
      <c r="K170" s="5" t="n">
        <v>0.05</v>
      </c>
      <c r="L170" s="5" t="s">
        <v>81</v>
      </c>
      <c r="M170" s="5"/>
      <c r="N170" s="5" t="s">
        <v>57</v>
      </c>
      <c r="O170" s="5"/>
      <c r="P170" s="7" t="n">
        <f aca="false">I170*J170*(1-K170)</f>
        <v>1710</v>
      </c>
      <c r="Q170" s="7" t="n">
        <f aca="false">INDEX(商品マスタ!$D:$D,MATCH(H170,商品マスタ!$A:$A,0))</f>
        <v>760</v>
      </c>
      <c r="R170" s="7" t="n">
        <f aca="false">P170-I170*Q170</f>
        <v>950</v>
      </c>
    </row>
    <row r="171" customFormat="false" ht="15" hidden="false" customHeight="true" outlineLevel="0" collapsed="false">
      <c r="A171" s="14" t="s">
        <v>387</v>
      </c>
      <c r="B171" s="15" t="n">
        <v>46039</v>
      </c>
      <c r="C171" s="5" t="s">
        <v>77</v>
      </c>
      <c r="D171" s="5" t="s">
        <v>44</v>
      </c>
      <c r="E171" s="5" t="s">
        <v>388</v>
      </c>
      <c r="F171" s="5" t="s">
        <v>61</v>
      </c>
      <c r="G171" s="5" t="s">
        <v>67</v>
      </c>
      <c r="H171" s="5" t="s">
        <v>68</v>
      </c>
      <c r="I171" s="5" t="n">
        <v>2</v>
      </c>
      <c r="J171" s="5" t="n">
        <v>1200</v>
      </c>
      <c r="K171" s="5" t="n">
        <v>0</v>
      </c>
      <c r="L171" s="14" t="s">
        <v>125</v>
      </c>
      <c r="M171" s="5"/>
      <c r="N171" s="5" t="s">
        <v>57</v>
      </c>
      <c r="O171" s="5"/>
      <c r="P171" s="7" t="n">
        <f aca="false">I171*J171*(1-K171)</f>
        <v>2400</v>
      </c>
      <c r="Q171" s="7" t="n">
        <f aca="false">INDEX(商品マスタ!$D:$D,MATCH(H171,商品マスタ!$A:$A,0))</f>
        <v>520</v>
      </c>
      <c r="R171" s="7" t="n">
        <f aca="false">P171-I171*Q171</f>
        <v>1360</v>
      </c>
    </row>
    <row r="172" customFormat="false" ht="15" hidden="false" customHeight="true" outlineLevel="0" collapsed="false">
      <c r="A172" s="14" t="s">
        <v>389</v>
      </c>
      <c r="B172" s="15" t="n">
        <v>46042</v>
      </c>
      <c r="C172" s="5" t="s">
        <v>59</v>
      </c>
      <c r="D172" s="14" t="s">
        <v>70</v>
      </c>
      <c r="E172" s="5" t="s">
        <v>304</v>
      </c>
      <c r="F172" s="5" t="s">
        <v>79</v>
      </c>
      <c r="G172" s="5" t="s">
        <v>47</v>
      </c>
      <c r="H172" s="5" t="s">
        <v>55</v>
      </c>
      <c r="I172" s="5" t="n">
        <v>2</v>
      </c>
      <c r="J172" s="5" t="n">
        <v>1500</v>
      </c>
      <c r="K172" s="5" t="n">
        <v>0</v>
      </c>
      <c r="L172" s="14" t="s">
        <v>75</v>
      </c>
      <c r="M172" s="5"/>
      <c r="N172" s="5" t="s">
        <v>57</v>
      </c>
      <c r="O172" s="5"/>
      <c r="P172" s="7" t="n">
        <f aca="false">I172*J172*(1-K172)</f>
        <v>3000</v>
      </c>
      <c r="Q172" s="7" t="n">
        <f aca="false">INDEX(商品マスタ!$D:$D,MATCH(H172,商品マスタ!$A:$A,0))</f>
        <v>680</v>
      </c>
      <c r="R172" s="7" t="n">
        <f aca="false">P172-I172*Q172</f>
        <v>1640</v>
      </c>
    </row>
    <row r="173" customFormat="false" ht="15" hidden="false" customHeight="true" outlineLevel="0" collapsed="false">
      <c r="A173" s="14" t="s">
        <v>390</v>
      </c>
      <c r="B173" s="15" t="n">
        <v>46025</v>
      </c>
      <c r="C173" s="5" t="s">
        <v>43</v>
      </c>
      <c r="D173" s="5" t="s">
        <v>44</v>
      </c>
      <c r="E173" s="5" t="s">
        <v>391</v>
      </c>
      <c r="F173" s="5" t="s">
        <v>61</v>
      </c>
      <c r="G173" s="5" t="s">
        <v>67</v>
      </c>
      <c r="H173" s="5" t="s">
        <v>179</v>
      </c>
      <c r="I173" s="5" t="n">
        <v>1</v>
      </c>
      <c r="J173" s="5" t="n">
        <v>1600</v>
      </c>
      <c r="K173" s="5" t="n">
        <v>0</v>
      </c>
      <c r="L173" s="14" t="s">
        <v>75</v>
      </c>
      <c r="M173" s="5"/>
      <c r="N173" s="5" t="s">
        <v>57</v>
      </c>
      <c r="O173" s="5"/>
      <c r="P173" s="7" t="n">
        <f aca="false">I173*J173*(1-K173)</f>
        <v>1600</v>
      </c>
      <c r="Q173" s="7" t="n">
        <f aca="false">INDEX(商品マスタ!$D:$D,MATCH(H173,商品マスタ!$A:$A,0))</f>
        <v>700</v>
      </c>
      <c r="R173" s="7" t="n">
        <f aca="false">P173-I173*Q173</f>
        <v>900</v>
      </c>
    </row>
    <row r="174" customFormat="false" ht="15" hidden="false" customHeight="true" outlineLevel="0" collapsed="false">
      <c r="A174" s="14" t="s">
        <v>392</v>
      </c>
      <c r="B174" s="15" t="n">
        <v>46031</v>
      </c>
      <c r="C174" s="5" t="s">
        <v>77</v>
      </c>
      <c r="D174" s="5" t="s">
        <v>44</v>
      </c>
      <c r="E174" s="5" t="s">
        <v>393</v>
      </c>
      <c r="F174" s="5" t="s">
        <v>61</v>
      </c>
      <c r="G174" s="5" t="s">
        <v>116</v>
      </c>
      <c r="H174" s="5" t="s">
        <v>120</v>
      </c>
      <c r="I174" s="5" t="n">
        <v>1</v>
      </c>
      <c r="J174" s="5" t="n">
        <v>3800</v>
      </c>
      <c r="K174" s="5" t="n">
        <v>0</v>
      </c>
      <c r="L174" s="5" t="s">
        <v>81</v>
      </c>
      <c r="M174" s="5"/>
      <c r="N174" s="5" t="s">
        <v>57</v>
      </c>
      <c r="O174" s="5"/>
      <c r="P174" s="7" t="n">
        <f aca="false">I174*J174*(1-K174)</f>
        <v>3800</v>
      </c>
      <c r="Q174" s="7" t="n">
        <f aca="false">INDEX(商品マスタ!$D:$D,MATCH(H174,商品マスタ!$A:$A,0))</f>
        <v>1900</v>
      </c>
      <c r="R174" s="7" t="n">
        <f aca="false">P174-I174*Q174</f>
        <v>1900</v>
      </c>
    </row>
    <row r="175" customFormat="false" ht="15" hidden="false" customHeight="true" outlineLevel="0" collapsed="false">
      <c r="A175" s="14" t="s">
        <v>394</v>
      </c>
      <c r="B175" s="15" t="n">
        <v>46033</v>
      </c>
      <c r="C175" s="5" t="s">
        <v>43</v>
      </c>
      <c r="D175" s="14" t="s">
        <v>70</v>
      </c>
      <c r="E175" s="5" t="s">
        <v>395</v>
      </c>
      <c r="F175" s="5" t="s">
        <v>61</v>
      </c>
      <c r="G175" s="5" t="s">
        <v>67</v>
      </c>
      <c r="H175" s="5" t="s">
        <v>106</v>
      </c>
      <c r="I175" s="5" t="n">
        <v>3</v>
      </c>
      <c r="J175" s="5" t="n">
        <v>1400</v>
      </c>
      <c r="K175" s="5" t="n">
        <v>0</v>
      </c>
      <c r="L175" s="14" t="s">
        <v>75</v>
      </c>
      <c r="M175" s="5"/>
      <c r="N175" s="5" t="s">
        <v>57</v>
      </c>
      <c r="O175" s="5"/>
      <c r="P175" s="7" t="n">
        <f aca="false">I175*J175*(1-K175)</f>
        <v>4200</v>
      </c>
      <c r="Q175" s="7" t="n">
        <f aca="false">INDEX(商品マスタ!$D:$D,MATCH(H175,商品マスタ!$A:$A,0))</f>
        <v>610</v>
      </c>
      <c r="R175" s="7" t="n">
        <f aca="false">P175-I175*Q175</f>
        <v>2370</v>
      </c>
    </row>
    <row r="176" customFormat="false" ht="15" hidden="false" customHeight="true" outlineLevel="0" collapsed="false">
      <c r="A176" s="14" t="s">
        <v>396</v>
      </c>
      <c r="B176" s="15" t="n">
        <v>46043</v>
      </c>
      <c r="C176" s="5" t="s">
        <v>77</v>
      </c>
      <c r="D176" s="14" t="s">
        <v>70</v>
      </c>
      <c r="E176" s="5" t="s">
        <v>230</v>
      </c>
      <c r="F176" s="5" t="s">
        <v>61</v>
      </c>
      <c r="G176" s="5" t="s">
        <v>67</v>
      </c>
      <c r="H176" s="5" t="s">
        <v>179</v>
      </c>
      <c r="I176" s="5" t="n">
        <v>3</v>
      </c>
      <c r="J176" s="5" t="n">
        <v>1600</v>
      </c>
      <c r="K176" s="5" t="n">
        <v>0</v>
      </c>
      <c r="L176" s="5" t="s">
        <v>56</v>
      </c>
      <c r="M176" s="5"/>
      <c r="N176" s="5" t="s">
        <v>57</v>
      </c>
      <c r="O176" s="5"/>
      <c r="P176" s="7" t="n">
        <f aca="false">I176*J176*(1-K176)</f>
        <v>4800</v>
      </c>
      <c r="Q176" s="7" t="n">
        <f aca="false">INDEX(商品マスタ!$D:$D,MATCH(H176,商品マスタ!$A:$A,0))</f>
        <v>700</v>
      </c>
      <c r="R176" s="7" t="n">
        <f aca="false">P176-I176*Q176</f>
        <v>2700</v>
      </c>
    </row>
    <row r="177" customFormat="false" ht="15" hidden="false" customHeight="true" outlineLevel="0" collapsed="false">
      <c r="A177" s="14" t="s">
        <v>397</v>
      </c>
      <c r="B177" s="15" t="n">
        <v>46044</v>
      </c>
      <c r="C177" s="5" t="s">
        <v>59</v>
      </c>
      <c r="D177" s="5" t="s">
        <v>44</v>
      </c>
      <c r="E177" s="5" t="s">
        <v>398</v>
      </c>
      <c r="F177" s="5"/>
      <c r="G177" s="5" t="s">
        <v>62</v>
      </c>
      <c r="H177" s="5" t="s">
        <v>93</v>
      </c>
      <c r="I177" s="5" t="n">
        <v>2</v>
      </c>
      <c r="J177" s="5" t="n">
        <v>9800</v>
      </c>
      <c r="K177" s="5" t="n">
        <v>0.1</v>
      </c>
      <c r="L177" s="14" t="s">
        <v>125</v>
      </c>
      <c r="M177" s="5"/>
      <c r="N177" s="5" t="s">
        <v>57</v>
      </c>
      <c r="O177" s="5"/>
      <c r="P177" s="7" t="n">
        <f aca="false">I177*J177*(1-K177)</f>
        <v>17640</v>
      </c>
      <c r="Q177" s="7" t="n">
        <f aca="false">INDEX(商品マスタ!$D:$D,MATCH(H177,商品マスタ!$A:$A,0))</f>
        <v>5400</v>
      </c>
      <c r="R177" s="7" t="n">
        <f aca="false">P177-I177*Q177</f>
        <v>6840</v>
      </c>
    </row>
    <row r="178" customFormat="false" ht="15" hidden="false" customHeight="true" outlineLevel="0" collapsed="false">
      <c r="A178" s="14" t="s">
        <v>399</v>
      </c>
      <c r="B178" s="15" t="n">
        <v>46046</v>
      </c>
      <c r="C178" s="5" t="s">
        <v>43</v>
      </c>
      <c r="D178" s="14" t="s">
        <v>70</v>
      </c>
      <c r="E178" s="5" t="s">
        <v>400</v>
      </c>
      <c r="F178" s="5" t="s">
        <v>79</v>
      </c>
      <c r="G178" s="5" t="s">
        <v>67</v>
      </c>
      <c r="H178" s="5" t="s">
        <v>88</v>
      </c>
      <c r="I178" s="5" t="n">
        <v>2</v>
      </c>
      <c r="J178" s="5" t="n">
        <v>2600</v>
      </c>
      <c r="K178" s="5" t="n">
        <v>0</v>
      </c>
      <c r="L178" s="14" t="s">
        <v>125</v>
      </c>
      <c r="M178" s="5"/>
      <c r="N178" s="5" t="s">
        <v>57</v>
      </c>
      <c r="O178" s="5"/>
      <c r="P178" s="7" t="n">
        <f aca="false">I178*J178*(1-K178)</f>
        <v>5200</v>
      </c>
      <c r="Q178" s="7" t="n">
        <f aca="false">INDEX(商品マスタ!$D:$D,MATCH(H178,商品マスタ!$A:$A,0))</f>
        <v>1150</v>
      </c>
      <c r="R178" s="7" t="n">
        <f aca="false">P178-I178*Q178</f>
        <v>2900</v>
      </c>
    </row>
    <row r="179" customFormat="false" ht="15" hidden="false" customHeight="true" outlineLevel="0" collapsed="false">
      <c r="A179" s="14" t="s">
        <v>401</v>
      </c>
      <c r="B179" s="15" t="n">
        <v>46053</v>
      </c>
      <c r="C179" s="5" t="s">
        <v>53</v>
      </c>
      <c r="D179" s="5" t="s">
        <v>44</v>
      </c>
      <c r="E179" s="5" t="s">
        <v>402</v>
      </c>
      <c r="F179" s="5" t="s">
        <v>61</v>
      </c>
      <c r="G179" s="5" t="s">
        <v>67</v>
      </c>
      <c r="H179" s="5" t="s">
        <v>179</v>
      </c>
      <c r="I179" s="5" t="n">
        <v>1</v>
      </c>
      <c r="J179" s="5" t="n">
        <v>1600</v>
      </c>
      <c r="K179" s="5" t="n">
        <v>0</v>
      </c>
      <c r="L179" s="5" t="s">
        <v>49</v>
      </c>
      <c r="M179" s="5"/>
      <c r="N179" s="5" t="s">
        <v>57</v>
      </c>
      <c r="O179" s="5"/>
      <c r="P179" s="7" t="n">
        <f aca="false">I179*J179*(1-K179)</f>
        <v>1600</v>
      </c>
      <c r="Q179" s="7" t="n">
        <f aca="false">INDEX(商品マスタ!$D:$D,MATCH(H179,商品マスタ!$A:$A,0))</f>
        <v>700</v>
      </c>
      <c r="R179" s="7" t="n">
        <f aca="false">P179-I179*Q179</f>
        <v>900</v>
      </c>
    </row>
    <row r="180" customFormat="false" ht="15" hidden="false" customHeight="true" outlineLevel="0" collapsed="false">
      <c r="A180" s="14" t="s">
        <v>403</v>
      </c>
      <c r="B180" s="15" t="n">
        <v>46025</v>
      </c>
      <c r="C180" s="5" t="s">
        <v>77</v>
      </c>
      <c r="D180" s="5" t="s">
        <v>44</v>
      </c>
      <c r="E180" s="5" t="s">
        <v>404</v>
      </c>
      <c r="F180" s="5" t="s">
        <v>61</v>
      </c>
      <c r="G180" s="5" t="s">
        <v>116</v>
      </c>
      <c r="H180" s="5" t="s">
        <v>117</v>
      </c>
      <c r="I180" s="5" t="n">
        <v>2</v>
      </c>
      <c r="J180" s="5" t="n">
        <v>1800</v>
      </c>
      <c r="K180" s="5" t="n">
        <v>0</v>
      </c>
      <c r="L180" s="5" t="s">
        <v>56</v>
      </c>
      <c r="M180" s="5"/>
      <c r="N180" s="5" t="s">
        <v>57</v>
      </c>
      <c r="O180" s="5"/>
      <c r="P180" s="7" t="n">
        <f aca="false">I180*J180*(1-K180)</f>
        <v>3600</v>
      </c>
      <c r="Q180" s="7" t="n">
        <f aca="false">INDEX(商品マスタ!$D:$D,MATCH(H180,商品マスタ!$A:$A,0))</f>
        <v>760</v>
      </c>
      <c r="R180" s="7" t="n">
        <f aca="false">P180-I180*Q180</f>
        <v>2080</v>
      </c>
    </row>
    <row r="181" customFormat="false" ht="15" hidden="false" customHeight="true" outlineLevel="0" collapsed="false">
      <c r="A181" s="14" t="s">
        <v>405</v>
      </c>
      <c r="B181" s="15" t="n">
        <v>46046</v>
      </c>
      <c r="C181" s="5" t="s">
        <v>43</v>
      </c>
      <c r="D181" s="5" t="s">
        <v>44</v>
      </c>
      <c r="E181" s="5" t="s">
        <v>168</v>
      </c>
      <c r="F181" s="5" t="s">
        <v>79</v>
      </c>
      <c r="G181" s="5" t="s">
        <v>62</v>
      </c>
      <c r="H181" s="5" t="s">
        <v>93</v>
      </c>
      <c r="I181" s="5" t="n">
        <v>1</v>
      </c>
      <c r="J181" s="5" t="n">
        <v>9800</v>
      </c>
      <c r="K181" s="5" t="n">
        <v>0.05</v>
      </c>
      <c r="L181" s="14" t="s">
        <v>75</v>
      </c>
      <c r="M181" s="5"/>
      <c r="N181" s="5" t="s">
        <v>57</v>
      </c>
      <c r="O181" s="5"/>
      <c r="P181" s="7" t="n">
        <f aca="false">I181*J181*(1-K181)</f>
        <v>9310</v>
      </c>
      <c r="Q181" s="7" t="n">
        <f aca="false">INDEX(商品マスタ!$D:$D,MATCH(H181,商品マスタ!$A:$A,0))</f>
        <v>5400</v>
      </c>
      <c r="R181" s="7" t="n">
        <f aca="false">P181-I181*Q181</f>
        <v>3910</v>
      </c>
    </row>
    <row r="182" customFormat="false" ht="15" hidden="false" customHeight="true" outlineLevel="0" collapsed="false">
      <c r="A182" s="14" t="s">
        <v>406</v>
      </c>
      <c r="B182" s="15" t="n">
        <v>46025</v>
      </c>
      <c r="C182" s="5" t="s">
        <v>59</v>
      </c>
      <c r="D182" s="5" t="s">
        <v>44</v>
      </c>
      <c r="E182" s="5" t="s">
        <v>407</v>
      </c>
      <c r="F182" s="5" t="s">
        <v>79</v>
      </c>
      <c r="G182" s="5" t="s">
        <v>47</v>
      </c>
      <c r="H182" s="5" t="s">
        <v>55</v>
      </c>
      <c r="I182" s="5" t="n">
        <v>1</v>
      </c>
      <c r="J182" s="5" t="n">
        <v>1500</v>
      </c>
      <c r="K182" s="5" t="n">
        <v>0</v>
      </c>
      <c r="L182" s="5" t="s">
        <v>56</v>
      </c>
      <c r="M182" s="5"/>
      <c r="N182" s="5" t="s">
        <v>57</v>
      </c>
      <c r="O182" s="5"/>
      <c r="P182" s="7" t="n">
        <f aca="false">I182*J182*(1-K182)</f>
        <v>1500</v>
      </c>
      <c r="Q182" s="7" t="n">
        <f aca="false">INDEX(商品マスタ!$D:$D,MATCH(H182,商品マスタ!$A:$A,0))</f>
        <v>680</v>
      </c>
      <c r="R182" s="7" t="n">
        <f aca="false">P182-I182*Q182</f>
        <v>820</v>
      </c>
    </row>
    <row r="183" customFormat="false" ht="15" hidden="false" customHeight="true" outlineLevel="0" collapsed="false">
      <c r="A183" s="14" t="s">
        <v>408</v>
      </c>
      <c r="B183" s="15" t="n">
        <v>46040</v>
      </c>
      <c r="C183" s="5" t="s">
        <v>59</v>
      </c>
      <c r="D183" s="5" t="s">
        <v>44</v>
      </c>
      <c r="E183" s="5" t="s">
        <v>409</v>
      </c>
      <c r="F183" s="5" t="s">
        <v>61</v>
      </c>
      <c r="G183" s="5" t="s">
        <v>47</v>
      </c>
      <c r="H183" s="5" t="s">
        <v>55</v>
      </c>
      <c r="I183" s="5" t="n">
        <v>1</v>
      </c>
      <c r="J183" s="5" t="n">
        <v>1500</v>
      </c>
      <c r="K183" s="5" t="n">
        <v>0</v>
      </c>
      <c r="L183" s="14" t="s">
        <v>125</v>
      </c>
      <c r="M183" s="5"/>
      <c r="N183" s="5" t="s">
        <v>57</v>
      </c>
      <c r="O183" s="5"/>
      <c r="P183" s="7" t="n">
        <f aca="false">I183*J183*(1-K183)</f>
        <v>1500</v>
      </c>
      <c r="Q183" s="7" t="n">
        <f aca="false">INDEX(商品マスタ!$D:$D,MATCH(H183,商品マスタ!$A:$A,0))</f>
        <v>680</v>
      </c>
      <c r="R183" s="7" t="n">
        <f aca="false">P183-I183*Q183</f>
        <v>820</v>
      </c>
    </row>
    <row r="184" customFormat="false" ht="15" hidden="false" customHeight="true" outlineLevel="0" collapsed="false">
      <c r="A184" s="14" t="s">
        <v>410</v>
      </c>
      <c r="B184" s="15" t="n">
        <v>46027</v>
      </c>
      <c r="C184" s="5" t="s">
        <v>77</v>
      </c>
      <c r="D184" s="5" t="s">
        <v>44</v>
      </c>
      <c r="E184" s="5" t="s">
        <v>411</v>
      </c>
      <c r="F184" s="5" t="s">
        <v>61</v>
      </c>
      <c r="G184" s="5" t="s">
        <v>116</v>
      </c>
      <c r="H184" s="5" t="s">
        <v>117</v>
      </c>
      <c r="I184" s="5" t="n">
        <v>2</v>
      </c>
      <c r="J184" s="5" t="n">
        <v>1800</v>
      </c>
      <c r="K184" s="5" t="n">
        <v>0.1</v>
      </c>
      <c r="L184" s="5" t="s">
        <v>81</v>
      </c>
      <c r="M184" s="5"/>
      <c r="N184" s="5" t="s">
        <v>57</v>
      </c>
      <c r="O184" s="5"/>
      <c r="P184" s="7" t="n">
        <f aca="false">I184*J184*(1-K184)</f>
        <v>3240</v>
      </c>
      <c r="Q184" s="7" t="n">
        <f aca="false">INDEX(商品マスタ!$D:$D,MATCH(H184,商品マスタ!$A:$A,0))</f>
        <v>760</v>
      </c>
      <c r="R184" s="7" t="n">
        <f aca="false">P184-I184*Q184</f>
        <v>1720</v>
      </c>
    </row>
    <row r="185" customFormat="false" ht="15" hidden="false" customHeight="true" outlineLevel="0" collapsed="false">
      <c r="A185" s="14" t="s">
        <v>412</v>
      </c>
      <c r="B185" s="15" t="n">
        <v>46038</v>
      </c>
      <c r="C185" s="5" t="s">
        <v>59</v>
      </c>
      <c r="D185" s="14" t="s">
        <v>70</v>
      </c>
      <c r="E185" s="5" t="s">
        <v>413</v>
      </c>
      <c r="F185" s="5" t="s">
        <v>79</v>
      </c>
      <c r="G185" s="5" t="s">
        <v>62</v>
      </c>
      <c r="H185" s="5" t="s">
        <v>85</v>
      </c>
      <c r="I185" s="5" t="n">
        <v>2</v>
      </c>
      <c r="J185" s="5" t="n">
        <v>3200</v>
      </c>
      <c r="K185" s="5" t="n">
        <v>0.05</v>
      </c>
      <c r="L185" s="5" t="s">
        <v>64</v>
      </c>
      <c r="M185" s="5" t="s">
        <v>198</v>
      </c>
      <c r="N185" s="5" t="s">
        <v>57</v>
      </c>
      <c r="O185" s="5"/>
      <c r="P185" s="7" t="n">
        <f aca="false">I185*J185*(1-K185)</f>
        <v>6080</v>
      </c>
      <c r="Q185" s="7" t="n">
        <f aca="false">INDEX(商品マスタ!$D:$D,MATCH(H185,商品マスタ!$A:$A,0))</f>
        <v>1600</v>
      </c>
      <c r="R185" s="7" t="n">
        <f aca="false">P185-I185*Q185</f>
        <v>2880</v>
      </c>
    </row>
    <row r="186" customFormat="false" ht="15" hidden="false" customHeight="true" outlineLevel="0" collapsed="false">
      <c r="A186" s="14" t="s">
        <v>414</v>
      </c>
      <c r="B186" s="15" t="n">
        <v>46029</v>
      </c>
      <c r="C186" s="5" t="s">
        <v>77</v>
      </c>
      <c r="D186" s="5" t="s">
        <v>44</v>
      </c>
      <c r="E186" s="5" t="s">
        <v>415</v>
      </c>
      <c r="F186" s="5" t="s">
        <v>61</v>
      </c>
      <c r="G186" s="5" t="s">
        <v>67</v>
      </c>
      <c r="H186" s="5" t="s">
        <v>88</v>
      </c>
      <c r="I186" s="5" t="n">
        <v>1</v>
      </c>
      <c r="J186" s="5" t="n">
        <v>2600</v>
      </c>
      <c r="K186" s="5" t="n">
        <v>0.1</v>
      </c>
      <c r="L186" s="5" t="s">
        <v>81</v>
      </c>
      <c r="M186" s="5"/>
      <c r="N186" s="5" t="s">
        <v>57</v>
      </c>
      <c r="O186" s="5"/>
      <c r="P186" s="7" t="n">
        <f aca="false">I186*J186*(1-K186)</f>
        <v>2340</v>
      </c>
      <c r="Q186" s="7" t="n">
        <f aca="false">INDEX(商品マスタ!$D:$D,MATCH(H186,商品マスタ!$A:$A,0))</f>
        <v>1150</v>
      </c>
      <c r="R186" s="7" t="n">
        <f aca="false">P186-I186*Q186</f>
        <v>1190</v>
      </c>
    </row>
    <row r="187" customFormat="false" ht="15" hidden="false" customHeight="true" outlineLevel="0" collapsed="false">
      <c r="A187" s="14" t="s">
        <v>416</v>
      </c>
      <c r="B187" s="15" t="n">
        <v>46050</v>
      </c>
      <c r="C187" s="5" t="s">
        <v>83</v>
      </c>
      <c r="D187" s="14" t="s">
        <v>70</v>
      </c>
      <c r="E187" s="5" t="s">
        <v>417</v>
      </c>
      <c r="F187" s="5"/>
      <c r="G187" s="5" t="s">
        <v>62</v>
      </c>
      <c r="H187" s="5" t="s">
        <v>63</v>
      </c>
      <c r="I187" s="5" t="n">
        <v>2</v>
      </c>
      <c r="J187" s="5" t="n">
        <v>480</v>
      </c>
      <c r="K187" s="5" t="n">
        <v>0</v>
      </c>
      <c r="L187" s="14" t="s">
        <v>125</v>
      </c>
      <c r="M187" s="5" t="s">
        <v>50</v>
      </c>
      <c r="N187" s="5" t="s">
        <v>51</v>
      </c>
      <c r="O187" s="5"/>
      <c r="P187" s="7" t="n">
        <f aca="false">I187*J187*(1-K187)</f>
        <v>960</v>
      </c>
      <c r="Q187" s="7" t="n">
        <f aca="false">INDEX(商品マスタ!$D:$D,MATCH(H187,商品マスタ!$A:$A,0))</f>
        <v>180</v>
      </c>
      <c r="R187" s="7" t="n">
        <f aca="false">P187-I187*Q187</f>
        <v>600</v>
      </c>
    </row>
    <row r="188" customFormat="false" ht="15" hidden="false" customHeight="true" outlineLevel="0" collapsed="false">
      <c r="A188" s="14" t="s">
        <v>418</v>
      </c>
      <c r="B188" s="15" t="n">
        <v>46035</v>
      </c>
      <c r="C188" s="5" t="s">
        <v>43</v>
      </c>
      <c r="D188" s="14" t="s">
        <v>70</v>
      </c>
      <c r="E188" s="5" t="s">
        <v>419</v>
      </c>
      <c r="F188" s="5"/>
      <c r="G188" s="5" t="s">
        <v>67</v>
      </c>
      <c r="H188" s="5" t="s">
        <v>106</v>
      </c>
      <c r="I188" s="5" t="n">
        <v>1</v>
      </c>
      <c r="J188" s="5" t="n">
        <v>1400</v>
      </c>
      <c r="K188" s="5" t="n">
        <v>0</v>
      </c>
      <c r="L188" s="14" t="s">
        <v>75</v>
      </c>
      <c r="M188" s="5"/>
      <c r="N188" s="5" t="s">
        <v>57</v>
      </c>
      <c r="O188" s="5"/>
      <c r="P188" s="7" t="n">
        <f aca="false">I188*J188*(1-K188)</f>
        <v>1400</v>
      </c>
      <c r="Q188" s="7" t="n">
        <f aca="false">INDEX(商品マスタ!$D:$D,MATCH(H188,商品マスタ!$A:$A,0))</f>
        <v>610</v>
      </c>
      <c r="R188" s="7" t="n">
        <f aca="false">P188-I188*Q188</f>
        <v>790</v>
      </c>
    </row>
    <row r="189" customFormat="false" ht="15" hidden="false" customHeight="true" outlineLevel="0" collapsed="false">
      <c r="A189" s="14" t="s">
        <v>420</v>
      </c>
      <c r="B189" s="15" t="n">
        <v>46051</v>
      </c>
      <c r="C189" s="5" t="s">
        <v>53</v>
      </c>
      <c r="D189" s="5" t="s">
        <v>44</v>
      </c>
      <c r="E189" s="5" t="s">
        <v>263</v>
      </c>
      <c r="F189" s="5" t="s">
        <v>61</v>
      </c>
      <c r="G189" s="5" t="s">
        <v>47</v>
      </c>
      <c r="H189" s="5" t="s">
        <v>48</v>
      </c>
      <c r="I189" s="5" t="n">
        <v>4</v>
      </c>
      <c r="J189" s="5" t="n">
        <v>980</v>
      </c>
      <c r="K189" s="5" t="n">
        <v>0.1</v>
      </c>
      <c r="L189" s="5" t="s">
        <v>49</v>
      </c>
      <c r="M189" s="5"/>
      <c r="N189" s="5" t="s">
        <v>57</v>
      </c>
      <c r="O189" s="5"/>
      <c r="P189" s="7" t="n">
        <f aca="false">I189*J189*(1-K189)</f>
        <v>3528</v>
      </c>
      <c r="Q189" s="7" t="n">
        <f aca="false">INDEX(商品マスタ!$D:$D,MATCH(H189,商品マスタ!$A:$A,0))</f>
        <v>420</v>
      </c>
      <c r="R189" s="7" t="n">
        <f aca="false">P189-I189*Q189</f>
        <v>1848</v>
      </c>
    </row>
    <row r="190" customFormat="false" ht="15" hidden="false" customHeight="true" outlineLevel="0" collapsed="false">
      <c r="A190" s="14" t="s">
        <v>421</v>
      </c>
      <c r="B190" s="15" t="n">
        <v>46052</v>
      </c>
      <c r="C190" s="5" t="s">
        <v>83</v>
      </c>
      <c r="D190" s="5" t="s">
        <v>44</v>
      </c>
      <c r="E190" s="5" t="s">
        <v>422</v>
      </c>
      <c r="F190" s="5" t="s">
        <v>79</v>
      </c>
      <c r="G190" s="5" t="s">
        <v>116</v>
      </c>
      <c r="H190" s="5" t="s">
        <v>117</v>
      </c>
      <c r="I190" s="5" t="n">
        <v>3</v>
      </c>
      <c r="J190" s="5" t="n">
        <v>1800</v>
      </c>
      <c r="K190" s="5" t="n">
        <v>0.05</v>
      </c>
      <c r="L190" s="5" t="s">
        <v>81</v>
      </c>
      <c r="M190" s="5"/>
      <c r="N190" s="5" t="s">
        <v>57</v>
      </c>
      <c r="O190" s="5"/>
      <c r="P190" s="7" t="n">
        <f aca="false">I190*J190*(1-K190)</f>
        <v>5130</v>
      </c>
      <c r="Q190" s="7" t="n">
        <f aca="false">INDEX(商品マスタ!$D:$D,MATCH(H190,商品マスタ!$A:$A,0))</f>
        <v>760</v>
      </c>
      <c r="R190" s="7" t="n">
        <f aca="false">P190-I190*Q190</f>
        <v>2850</v>
      </c>
    </row>
    <row r="191" customFormat="false" ht="15" hidden="false" customHeight="true" outlineLevel="0" collapsed="false">
      <c r="A191" s="14" t="s">
        <v>423</v>
      </c>
      <c r="B191" s="15" t="n">
        <v>46047</v>
      </c>
      <c r="C191" s="5" t="s">
        <v>77</v>
      </c>
      <c r="D191" s="5" t="s">
        <v>44</v>
      </c>
      <c r="E191" s="5" t="s">
        <v>424</v>
      </c>
      <c r="F191" s="5" t="s">
        <v>61</v>
      </c>
      <c r="G191" s="5" t="s">
        <v>47</v>
      </c>
      <c r="H191" s="5" t="s">
        <v>55</v>
      </c>
      <c r="I191" s="5" t="n">
        <v>1</v>
      </c>
      <c r="J191" s="5" t="n">
        <v>1500</v>
      </c>
      <c r="K191" s="5" t="n">
        <v>0</v>
      </c>
      <c r="L191" s="14" t="s">
        <v>125</v>
      </c>
      <c r="M191" s="5"/>
      <c r="N191" s="5" t="s">
        <v>57</v>
      </c>
      <c r="O191" s="5"/>
      <c r="P191" s="7" t="n">
        <f aca="false">I191*J191*(1-K191)</f>
        <v>1500</v>
      </c>
      <c r="Q191" s="7" t="n">
        <f aca="false">INDEX(商品マスタ!$D:$D,MATCH(H191,商品マスタ!$A:$A,0))</f>
        <v>680</v>
      </c>
      <c r="R191" s="7" t="n">
        <f aca="false">P191-I191*Q191</f>
        <v>820</v>
      </c>
    </row>
    <row r="192" customFormat="false" ht="15" hidden="false" customHeight="true" outlineLevel="0" collapsed="false">
      <c r="A192" s="14" t="s">
        <v>425</v>
      </c>
      <c r="B192" s="15" t="n">
        <v>46032</v>
      </c>
      <c r="C192" s="5" t="s">
        <v>59</v>
      </c>
      <c r="D192" s="14" t="s">
        <v>70</v>
      </c>
      <c r="E192" s="5" t="s">
        <v>426</v>
      </c>
      <c r="F192" s="5" t="s">
        <v>79</v>
      </c>
      <c r="G192" s="5" t="s">
        <v>62</v>
      </c>
      <c r="H192" s="5" t="s">
        <v>93</v>
      </c>
      <c r="I192" s="5" t="n">
        <v>2</v>
      </c>
      <c r="J192" s="5" t="n">
        <v>9800</v>
      </c>
      <c r="K192" s="5" t="n">
        <v>0</v>
      </c>
      <c r="L192" s="14" t="s">
        <v>125</v>
      </c>
      <c r="M192" s="5"/>
      <c r="N192" s="5" t="s">
        <v>57</v>
      </c>
      <c r="O192" s="5"/>
      <c r="P192" s="7" t="n">
        <f aca="false">I192*J192*(1-K192)</f>
        <v>19600</v>
      </c>
      <c r="Q192" s="7" t="n">
        <f aca="false">INDEX(商品マスタ!$D:$D,MATCH(H192,商品マスタ!$A:$A,0))</f>
        <v>5400</v>
      </c>
      <c r="R192" s="7" t="n">
        <f aca="false">P192-I192*Q192</f>
        <v>8800</v>
      </c>
    </row>
    <row r="193" customFormat="false" ht="15" hidden="false" customHeight="true" outlineLevel="0" collapsed="false">
      <c r="A193" s="14" t="s">
        <v>427</v>
      </c>
      <c r="B193" s="15" t="n">
        <v>46033</v>
      </c>
      <c r="C193" s="5" t="s">
        <v>59</v>
      </c>
      <c r="D193" s="14" t="s">
        <v>70</v>
      </c>
      <c r="E193" s="5" t="s">
        <v>428</v>
      </c>
      <c r="F193" s="5" t="s">
        <v>61</v>
      </c>
      <c r="G193" s="5" t="s">
        <v>47</v>
      </c>
      <c r="H193" s="5" t="s">
        <v>74</v>
      </c>
      <c r="I193" s="5" t="n">
        <v>1</v>
      </c>
      <c r="J193" s="5" t="n">
        <v>880</v>
      </c>
      <c r="K193" s="5" t="n">
        <v>0</v>
      </c>
      <c r="L193" s="5" t="s">
        <v>64</v>
      </c>
      <c r="M193" s="5"/>
      <c r="N193" s="5" t="s">
        <v>57</v>
      </c>
      <c r="O193" s="5"/>
      <c r="P193" s="7" t="n">
        <f aca="false">I193*J193*(1-K193)</f>
        <v>880</v>
      </c>
      <c r="Q193" s="7" t="n">
        <f aca="false">INDEX(商品マスタ!$D:$D,MATCH(H193,商品マスタ!$A:$A,0))</f>
        <v>360</v>
      </c>
      <c r="R193" s="7" t="n">
        <f aca="false">P193-I193*Q193</f>
        <v>520</v>
      </c>
    </row>
    <row r="194" customFormat="false" ht="15" hidden="false" customHeight="true" outlineLevel="0" collapsed="false">
      <c r="A194" s="14" t="s">
        <v>429</v>
      </c>
      <c r="B194" s="15" t="n">
        <v>46044</v>
      </c>
      <c r="C194" s="5" t="s">
        <v>77</v>
      </c>
      <c r="D194" s="5" t="s">
        <v>44</v>
      </c>
      <c r="E194" s="5" t="s">
        <v>430</v>
      </c>
      <c r="F194" s="5" t="s">
        <v>79</v>
      </c>
      <c r="G194" s="5" t="s">
        <v>47</v>
      </c>
      <c r="H194" s="5" t="s">
        <v>48</v>
      </c>
      <c r="I194" s="5" t="n">
        <v>3</v>
      </c>
      <c r="J194" s="5" t="n">
        <v>980</v>
      </c>
      <c r="K194" s="5" t="n">
        <v>0</v>
      </c>
      <c r="L194" s="14" t="s">
        <v>75</v>
      </c>
      <c r="M194" s="5"/>
      <c r="N194" s="5" t="s">
        <v>57</v>
      </c>
      <c r="O194" s="5"/>
      <c r="P194" s="7" t="n">
        <f aca="false">I194*J194*(1-K194)</f>
        <v>2940</v>
      </c>
      <c r="Q194" s="7" t="n">
        <f aca="false">INDEX(商品マスタ!$D:$D,MATCH(H194,商品マスタ!$A:$A,0))</f>
        <v>420</v>
      </c>
      <c r="R194" s="7" t="n">
        <f aca="false">P194-I194*Q194</f>
        <v>1680</v>
      </c>
    </row>
    <row r="195" customFormat="false" ht="15" hidden="false" customHeight="true" outlineLevel="0" collapsed="false">
      <c r="A195" s="14" t="s">
        <v>431</v>
      </c>
      <c r="B195" s="15" t="n">
        <v>46036</v>
      </c>
      <c r="C195" s="5" t="s">
        <v>83</v>
      </c>
      <c r="D195" s="5" t="s">
        <v>44</v>
      </c>
      <c r="E195" s="5" t="s">
        <v>432</v>
      </c>
      <c r="F195" s="5" t="s">
        <v>61</v>
      </c>
      <c r="G195" s="5" t="s">
        <v>67</v>
      </c>
      <c r="H195" s="5" t="s">
        <v>88</v>
      </c>
      <c r="I195" s="5" t="n">
        <v>1</v>
      </c>
      <c r="J195" s="5" t="n">
        <v>2600</v>
      </c>
      <c r="K195" s="5" t="n">
        <v>0.05</v>
      </c>
      <c r="L195" s="5" t="s">
        <v>64</v>
      </c>
      <c r="M195" s="5"/>
      <c r="N195" s="5" t="s">
        <v>57</v>
      </c>
      <c r="O195" s="5"/>
      <c r="P195" s="7" t="n">
        <f aca="false">I195*J195*(1-K195)</f>
        <v>2470</v>
      </c>
      <c r="Q195" s="7" t="n">
        <f aca="false">INDEX(商品マスタ!$D:$D,MATCH(H195,商品マスタ!$A:$A,0))</f>
        <v>1150</v>
      </c>
      <c r="R195" s="7" t="n">
        <f aca="false">P195-I195*Q195</f>
        <v>1320</v>
      </c>
    </row>
    <row r="196" customFormat="false" ht="15" hidden="false" customHeight="true" outlineLevel="0" collapsed="false">
      <c r="A196" s="14" t="s">
        <v>433</v>
      </c>
      <c r="B196" s="15" t="n">
        <v>46033</v>
      </c>
      <c r="C196" s="5" t="s">
        <v>77</v>
      </c>
      <c r="D196" s="14" t="s">
        <v>70</v>
      </c>
      <c r="E196" s="5" t="s">
        <v>434</v>
      </c>
      <c r="F196" s="5" t="s">
        <v>79</v>
      </c>
      <c r="G196" s="5" t="s">
        <v>62</v>
      </c>
      <c r="H196" s="5" t="s">
        <v>80</v>
      </c>
      <c r="I196" s="5" t="n">
        <v>3</v>
      </c>
      <c r="J196" s="5" t="n">
        <v>2800</v>
      </c>
      <c r="K196" s="5" t="n">
        <v>0</v>
      </c>
      <c r="L196" s="14" t="s">
        <v>125</v>
      </c>
      <c r="M196" s="5"/>
      <c r="N196" s="5" t="s">
        <v>57</v>
      </c>
      <c r="O196" s="5"/>
      <c r="P196" s="7" t="n">
        <f aca="false">I196*J196*(1-K196)</f>
        <v>8400</v>
      </c>
      <c r="Q196" s="7" t="n">
        <f aca="false">INDEX(商品マスタ!$D:$D,MATCH(H196,商品マスタ!$A:$A,0))</f>
        <v>1400</v>
      </c>
      <c r="R196" s="7" t="n">
        <f aca="false">P196-I196*Q196</f>
        <v>4200</v>
      </c>
    </row>
    <row r="197" customFormat="false" ht="15" hidden="false" customHeight="true" outlineLevel="0" collapsed="false">
      <c r="A197" s="14" t="s">
        <v>435</v>
      </c>
      <c r="B197" s="15" t="n">
        <v>46032</v>
      </c>
      <c r="C197" s="5" t="s">
        <v>43</v>
      </c>
      <c r="D197" s="5" t="s">
        <v>44</v>
      </c>
      <c r="E197" s="5" t="s">
        <v>45</v>
      </c>
      <c r="F197" s="5" t="s">
        <v>46</v>
      </c>
      <c r="G197" s="5" t="s">
        <v>62</v>
      </c>
      <c r="H197" s="5" t="s">
        <v>85</v>
      </c>
      <c r="I197" s="5" t="n">
        <v>8</v>
      </c>
      <c r="J197" s="5" t="n">
        <v>3200</v>
      </c>
      <c r="K197" s="5" t="n">
        <v>0</v>
      </c>
      <c r="L197" s="5" t="s">
        <v>49</v>
      </c>
      <c r="M197" s="5"/>
      <c r="N197" s="5" t="s">
        <v>57</v>
      </c>
      <c r="O197" s="5"/>
      <c r="P197" s="7" t="n">
        <f aca="false">I197*J197*(1-K197)</f>
        <v>25600</v>
      </c>
      <c r="Q197" s="7" t="n">
        <f aca="false">INDEX(商品マスタ!$D:$D,MATCH(H197,商品マスタ!$A:$A,0))</f>
        <v>1600</v>
      </c>
      <c r="R197" s="7" t="n">
        <f aca="false">P197-I197*Q197</f>
        <v>12800</v>
      </c>
    </row>
    <row r="198" customFormat="false" ht="15" hidden="false" customHeight="true" outlineLevel="0" collapsed="false">
      <c r="A198" s="14" t="s">
        <v>436</v>
      </c>
      <c r="B198" s="15" t="n">
        <v>46052</v>
      </c>
      <c r="C198" s="5" t="s">
        <v>53</v>
      </c>
      <c r="D198" s="5" t="s">
        <v>44</v>
      </c>
      <c r="E198" s="5" t="s">
        <v>234</v>
      </c>
      <c r="F198" s="5" t="s">
        <v>46</v>
      </c>
      <c r="G198" s="5" t="s">
        <v>67</v>
      </c>
      <c r="H198" s="5" t="s">
        <v>106</v>
      </c>
      <c r="I198" s="5" t="n">
        <v>10</v>
      </c>
      <c r="J198" s="5" t="n">
        <v>1400</v>
      </c>
      <c r="K198" s="5" t="n">
        <v>0</v>
      </c>
      <c r="L198" s="5" t="s">
        <v>81</v>
      </c>
      <c r="M198" s="5"/>
      <c r="N198" s="5" t="s">
        <v>57</v>
      </c>
      <c r="O198" s="5"/>
      <c r="P198" s="7" t="n">
        <f aca="false">I198*J198*(1-K198)</f>
        <v>14000</v>
      </c>
      <c r="Q198" s="7" t="n">
        <f aca="false">INDEX(商品マスタ!$D:$D,MATCH(H198,商品マスタ!$A:$A,0))</f>
        <v>610</v>
      </c>
      <c r="R198" s="7" t="n">
        <f aca="false">P198-I198*Q198</f>
        <v>7900</v>
      </c>
    </row>
    <row r="199" customFormat="false" ht="15" hidden="false" customHeight="true" outlineLevel="0" collapsed="false">
      <c r="A199" s="14" t="s">
        <v>437</v>
      </c>
      <c r="B199" s="15" t="n">
        <v>46030</v>
      </c>
      <c r="C199" s="5" t="s">
        <v>53</v>
      </c>
      <c r="D199" s="5" t="s">
        <v>44</v>
      </c>
      <c r="E199" s="5" t="s">
        <v>240</v>
      </c>
      <c r="F199" s="5"/>
      <c r="G199" s="5" t="s">
        <v>67</v>
      </c>
      <c r="H199" s="5" t="s">
        <v>106</v>
      </c>
      <c r="I199" s="5" t="n">
        <v>1</v>
      </c>
      <c r="J199" s="5" t="n">
        <v>1400</v>
      </c>
      <c r="K199" s="5" t="n">
        <v>0</v>
      </c>
      <c r="L199" s="14" t="s">
        <v>125</v>
      </c>
      <c r="M199" s="5"/>
      <c r="N199" s="5" t="s">
        <v>57</v>
      </c>
      <c r="O199" s="5"/>
      <c r="P199" s="7" t="n">
        <f aca="false">I199*J199*(1-K199)</f>
        <v>1400</v>
      </c>
      <c r="Q199" s="7" t="n">
        <f aca="false">INDEX(商品マスタ!$D:$D,MATCH(H199,商品マスタ!$A:$A,0))</f>
        <v>610</v>
      </c>
      <c r="R199" s="7" t="n">
        <f aca="false">P199-I199*Q199</f>
        <v>790</v>
      </c>
    </row>
    <row r="200" customFormat="false" ht="15" hidden="false" customHeight="true" outlineLevel="0" collapsed="false">
      <c r="A200" s="14" t="s">
        <v>438</v>
      </c>
      <c r="B200" s="15" t="n">
        <v>46037</v>
      </c>
      <c r="C200" s="5" t="s">
        <v>77</v>
      </c>
      <c r="D200" s="5" t="s">
        <v>44</v>
      </c>
      <c r="E200" s="5" t="s">
        <v>439</v>
      </c>
      <c r="F200" s="5" t="s">
        <v>79</v>
      </c>
      <c r="G200" s="5" t="s">
        <v>116</v>
      </c>
      <c r="H200" s="5" t="s">
        <v>120</v>
      </c>
      <c r="I200" s="5" t="n">
        <v>1</v>
      </c>
      <c r="J200" s="5" t="n">
        <v>3800</v>
      </c>
      <c r="K200" s="5" t="n">
        <v>0.05</v>
      </c>
      <c r="L200" s="5" t="s">
        <v>81</v>
      </c>
      <c r="M200" s="5"/>
      <c r="N200" s="5" t="s">
        <v>57</v>
      </c>
      <c r="O200" s="5"/>
      <c r="P200" s="7" t="n">
        <f aca="false">I200*J200*(1-K200)</f>
        <v>3610</v>
      </c>
      <c r="Q200" s="7" t="n">
        <f aca="false">INDEX(商品マスタ!$D:$D,MATCH(H200,商品マスタ!$A:$A,0))</f>
        <v>1900</v>
      </c>
      <c r="R200" s="7" t="n">
        <f aca="false">P200-I200*Q200</f>
        <v>1710</v>
      </c>
    </row>
    <row r="201" customFormat="false" ht="15" hidden="false" customHeight="true" outlineLevel="0" collapsed="false">
      <c r="A201" s="14" t="s">
        <v>440</v>
      </c>
      <c r="B201" s="15" t="n">
        <v>46030</v>
      </c>
      <c r="C201" s="5" t="s">
        <v>83</v>
      </c>
      <c r="D201" s="5" t="s">
        <v>44</v>
      </c>
      <c r="E201" s="5" t="s">
        <v>441</v>
      </c>
      <c r="F201" s="5"/>
      <c r="G201" s="5" t="s">
        <v>116</v>
      </c>
      <c r="H201" s="5" t="s">
        <v>174</v>
      </c>
      <c r="I201" s="5" t="n">
        <v>1</v>
      </c>
      <c r="J201" s="5" t="n">
        <v>5800</v>
      </c>
      <c r="K201" s="5" t="n">
        <v>0.1</v>
      </c>
      <c r="L201" s="5" t="s">
        <v>64</v>
      </c>
      <c r="M201" s="5"/>
      <c r="N201" s="5" t="s">
        <v>57</v>
      </c>
      <c r="O201" s="5"/>
      <c r="P201" s="7" t="n">
        <f aca="false">I201*J201*(1-K201)</f>
        <v>5220</v>
      </c>
      <c r="Q201" s="7" t="n">
        <f aca="false">INDEX(商品マスタ!$D:$D,MATCH(H201,商品マスタ!$A:$A,0))</f>
        <v>2900</v>
      </c>
      <c r="R201" s="7" t="n">
        <f aca="false">P201-I201*Q201</f>
        <v>2320</v>
      </c>
    </row>
    <row r="202" customFormat="false" ht="15" hidden="false" customHeight="true" outlineLevel="0" collapsed="false">
      <c r="A202" s="14" t="s">
        <v>442</v>
      </c>
      <c r="B202" s="15" t="n">
        <v>46050</v>
      </c>
      <c r="C202" s="5" t="s">
        <v>59</v>
      </c>
      <c r="D202" s="5" t="s">
        <v>44</v>
      </c>
      <c r="E202" s="5" t="s">
        <v>443</v>
      </c>
      <c r="F202" s="5" t="s">
        <v>79</v>
      </c>
      <c r="G202" s="5" t="s">
        <v>62</v>
      </c>
      <c r="H202" s="5" t="s">
        <v>85</v>
      </c>
      <c r="I202" s="5" t="n">
        <v>3</v>
      </c>
      <c r="J202" s="5" t="n">
        <v>3200</v>
      </c>
      <c r="K202" s="5" t="n">
        <v>0</v>
      </c>
      <c r="L202" s="5" t="s">
        <v>81</v>
      </c>
      <c r="M202" s="5"/>
      <c r="N202" s="5" t="s">
        <v>57</v>
      </c>
      <c r="O202" s="5"/>
      <c r="P202" s="7" t="n">
        <f aca="false">I202*J202*(1-K202)</f>
        <v>9600</v>
      </c>
      <c r="Q202" s="7" t="n">
        <f aca="false">INDEX(商品マスタ!$D:$D,MATCH(H202,商品マスタ!$A:$A,0))</f>
        <v>1600</v>
      </c>
      <c r="R202" s="7" t="n">
        <f aca="false">P202-I202*Q202</f>
        <v>4800</v>
      </c>
    </row>
    <row r="203" customFormat="false" ht="15" hidden="false" customHeight="true" outlineLevel="0" collapsed="false">
      <c r="A203" s="14" t="s">
        <v>444</v>
      </c>
      <c r="B203" s="15" t="n">
        <v>46024</v>
      </c>
      <c r="C203" s="5" t="s">
        <v>77</v>
      </c>
      <c r="D203" s="14" t="s">
        <v>70</v>
      </c>
      <c r="E203" s="5" t="s">
        <v>417</v>
      </c>
      <c r="F203" s="5" t="s">
        <v>61</v>
      </c>
      <c r="G203" s="5" t="s">
        <v>62</v>
      </c>
      <c r="H203" s="5" t="s">
        <v>93</v>
      </c>
      <c r="I203" s="5" t="n">
        <v>3</v>
      </c>
      <c r="J203" s="5" t="n">
        <v>9800</v>
      </c>
      <c r="K203" s="5" t="n">
        <v>0</v>
      </c>
      <c r="L203" s="5" t="s">
        <v>56</v>
      </c>
      <c r="M203" s="5"/>
      <c r="N203" s="5" t="s">
        <v>57</v>
      </c>
      <c r="O203" s="5"/>
      <c r="P203" s="7" t="n">
        <f aca="false">I203*J203*(1-K203)</f>
        <v>29400</v>
      </c>
      <c r="Q203" s="7" t="n">
        <f aca="false">INDEX(商品マスタ!$D:$D,MATCH(H203,商品マスタ!$A:$A,0))</f>
        <v>5400</v>
      </c>
      <c r="R203" s="7" t="n">
        <f aca="false">P203-I203*Q203</f>
        <v>13200</v>
      </c>
    </row>
    <row r="204" customFormat="false" ht="15" hidden="false" customHeight="true" outlineLevel="0" collapsed="false">
      <c r="A204" s="14" t="s">
        <v>445</v>
      </c>
      <c r="B204" s="15" t="n">
        <v>46044</v>
      </c>
      <c r="C204" s="5" t="s">
        <v>59</v>
      </c>
      <c r="D204" s="5" t="s">
        <v>44</v>
      </c>
      <c r="E204" s="5" t="s">
        <v>446</v>
      </c>
      <c r="F204" s="5" t="s">
        <v>79</v>
      </c>
      <c r="G204" s="5" t="s">
        <v>47</v>
      </c>
      <c r="H204" s="5" t="s">
        <v>74</v>
      </c>
      <c r="I204" s="5" t="n">
        <v>1</v>
      </c>
      <c r="J204" s="5" t="n">
        <v>880</v>
      </c>
      <c r="K204" s="5" t="n">
        <v>0</v>
      </c>
      <c r="L204" s="5" t="s">
        <v>49</v>
      </c>
      <c r="M204" s="5"/>
      <c r="N204" s="5" t="s">
        <v>57</v>
      </c>
      <c r="O204" s="5"/>
      <c r="P204" s="7" t="n">
        <f aca="false">I204*J204*(1-K204)</f>
        <v>880</v>
      </c>
      <c r="Q204" s="7" t="n">
        <f aca="false">INDEX(商品マスタ!$D:$D,MATCH(H204,商品マスタ!$A:$A,0))</f>
        <v>360</v>
      </c>
      <c r="R204" s="7" t="n">
        <f aca="false">P204-I204*Q204</f>
        <v>520</v>
      </c>
    </row>
    <row r="205" customFormat="false" ht="15" hidden="false" customHeight="true" outlineLevel="0" collapsed="false">
      <c r="A205" s="14" t="s">
        <v>447</v>
      </c>
      <c r="B205" s="15" t="n">
        <v>46024</v>
      </c>
      <c r="C205" s="5" t="s">
        <v>59</v>
      </c>
      <c r="D205" s="14" t="s">
        <v>70</v>
      </c>
      <c r="E205" s="5" t="s">
        <v>448</v>
      </c>
      <c r="F205" s="5" t="s">
        <v>79</v>
      </c>
      <c r="G205" s="5" t="s">
        <v>62</v>
      </c>
      <c r="H205" s="5" t="s">
        <v>85</v>
      </c>
      <c r="I205" s="5" t="n">
        <v>1</v>
      </c>
      <c r="J205" s="5" t="n">
        <v>3200</v>
      </c>
      <c r="K205" s="5" t="n">
        <v>0.05</v>
      </c>
      <c r="L205" s="5" t="s">
        <v>64</v>
      </c>
      <c r="M205" s="5"/>
      <c r="N205" s="5" t="s">
        <v>57</v>
      </c>
      <c r="O205" s="5"/>
      <c r="P205" s="7" t="n">
        <f aca="false">I205*J205*(1-K205)</f>
        <v>3040</v>
      </c>
      <c r="Q205" s="7" t="n">
        <f aca="false">INDEX(商品マスタ!$D:$D,MATCH(H205,商品マスタ!$A:$A,0))</f>
        <v>1600</v>
      </c>
      <c r="R205" s="7" t="n">
        <f aca="false">P205-I205*Q205</f>
        <v>1440</v>
      </c>
    </row>
    <row r="206" customFormat="false" ht="15" hidden="false" customHeight="true" outlineLevel="0" collapsed="false">
      <c r="A206" s="14" t="s">
        <v>449</v>
      </c>
      <c r="B206" s="15" t="n">
        <v>46046</v>
      </c>
      <c r="C206" s="5" t="s">
        <v>83</v>
      </c>
      <c r="D206" s="5" t="s">
        <v>44</v>
      </c>
      <c r="E206" s="5" t="s">
        <v>450</v>
      </c>
      <c r="F206" s="5" t="s">
        <v>61</v>
      </c>
      <c r="G206" s="5" t="s">
        <v>116</v>
      </c>
      <c r="H206" s="5" t="s">
        <v>174</v>
      </c>
      <c r="I206" s="5" t="n">
        <v>1</v>
      </c>
      <c r="J206" s="5" t="n">
        <v>5800</v>
      </c>
      <c r="K206" s="5" t="n">
        <v>0.1</v>
      </c>
      <c r="L206" s="14" t="s">
        <v>125</v>
      </c>
      <c r="M206" s="5"/>
      <c r="N206" s="5" t="s">
        <v>57</v>
      </c>
      <c r="O206" s="5"/>
      <c r="P206" s="7" t="n">
        <f aca="false">I206*J206*(1-K206)</f>
        <v>5220</v>
      </c>
      <c r="Q206" s="7" t="n">
        <f aca="false">INDEX(商品マスタ!$D:$D,MATCH(H206,商品マスタ!$A:$A,0))</f>
        <v>2900</v>
      </c>
      <c r="R206" s="7" t="n">
        <f aca="false">P206-I206*Q206</f>
        <v>2320</v>
      </c>
    </row>
    <row r="207" customFormat="false" ht="15" hidden="false" customHeight="true" outlineLevel="0" collapsed="false">
      <c r="A207" s="14" t="s">
        <v>451</v>
      </c>
      <c r="B207" s="15" t="n">
        <v>46036</v>
      </c>
      <c r="C207" s="5" t="s">
        <v>53</v>
      </c>
      <c r="D207" s="5" t="s">
        <v>44</v>
      </c>
      <c r="E207" s="5" t="s">
        <v>452</v>
      </c>
      <c r="F207" s="5" t="s">
        <v>61</v>
      </c>
      <c r="G207" s="5" t="s">
        <v>62</v>
      </c>
      <c r="H207" s="5" t="s">
        <v>80</v>
      </c>
      <c r="I207" s="5" t="n">
        <v>4</v>
      </c>
      <c r="J207" s="16" t="n">
        <v>2800</v>
      </c>
      <c r="K207" s="5" t="n">
        <v>0.05</v>
      </c>
      <c r="L207" s="14" t="s">
        <v>125</v>
      </c>
      <c r="M207" s="5"/>
      <c r="N207" s="5" t="s">
        <v>57</v>
      </c>
      <c r="O207" s="5" t="s">
        <v>159</v>
      </c>
      <c r="P207" s="7" t="n">
        <f aca="false">I207*J207*(1-K207)</f>
        <v>10640</v>
      </c>
      <c r="Q207" s="7" t="n">
        <f aca="false">INDEX(商品マスタ!$D:$D,MATCH(H207,商品マスタ!$A:$A,0))</f>
        <v>1400</v>
      </c>
      <c r="R207" s="7" t="n">
        <f aca="false">P207-I207*Q207</f>
        <v>5040</v>
      </c>
    </row>
    <row r="208" customFormat="false" ht="15" hidden="false" customHeight="true" outlineLevel="0" collapsed="false">
      <c r="A208" s="14" t="s">
        <v>453</v>
      </c>
      <c r="B208" s="15" t="n">
        <v>46036</v>
      </c>
      <c r="C208" s="5" t="s">
        <v>83</v>
      </c>
      <c r="D208" s="14" t="s">
        <v>70</v>
      </c>
      <c r="E208" s="5" t="s">
        <v>454</v>
      </c>
      <c r="F208" s="5" t="s">
        <v>79</v>
      </c>
      <c r="G208" s="5" t="s">
        <v>116</v>
      </c>
      <c r="H208" s="5" t="s">
        <v>174</v>
      </c>
      <c r="I208" s="5" t="n">
        <v>4</v>
      </c>
      <c r="J208" s="5" t="n">
        <v>5800</v>
      </c>
      <c r="K208" s="5" t="n">
        <v>0</v>
      </c>
      <c r="L208" s="14" t="s">
        <v>125</v>
      </c>
      <c r="M208" s="5"/>
      <c r="N208" s="5" t="s">
        <v>57</v>
      </c>
      <c r="O208" s="5"/>
      <c r="P208" s="7" t="n">
        <f aca="false">I208*J208*(1-K208)</f>
        <v>23200</v>
      </c>
      <c r="Q208" s="7" t="n">
        <f aca="false">INDEX(商品マスタ!$D:$D,MATCH(H208,商品マスタ!$A:$A,0))</f>
        <v>2900</v>
      </c>
      <c r="R208" s="7" t="n">
        <f aca="false">P208-I208*Q208</f>
        <v>11600</v>
      </c>
    </row>
    <row r="209" customFormat="false" ht="15" hidden="false" customHeight="true" outlineLevel="0" collapsed="false">
      <c r="A209" s="14" t="s">
        <v>455</v>
      </c>
      <c r="B209" s="15" t="n">
        <v>46025</v>
      </c>
      <c r="C209" s="5" t="s">
        <v>83</v>
      </c>
      <c r="D209" s="5" t="s">
        <v>44</v>
      </c>
      <c r="E209" s="5" t="s">
        <v>456</v>
      </c>
      <c r="F209" s="5"/>
      <c r="G209" s="5" t="s">
        <v>47</v>
      </c>
      <c r="H209" s="5" t="s">
        <v>48</v>
      </c>
      <c r="I209" s="5" t="n">
        <v>2</v>
      </c>
      <c r="J209" s="5" t="n">
        <v>980</v>
      </c>
      <c r="K209" s="5" t="n">
        <v>0</v>
      </c>
      <c r="L209" s="5" t="s">
        <v>64</v>
      </c>
      <c r="M209" s="5"/>
      <c r="N209" s="5" t="s">
        <v>57</v>
      </c>
      <c r="O209" s="5"/>
      <c r="P209" s="7" t="n">
        <f aca="false">I209*J209*(1-K209)</f>
        <v>1960</v>
      </c>
      <c r="Q209" s="7" t="n">
        <f aca="false">INDEX(商品マスタ!$D:$D,MATCH(H209,商品マスタ!$A:$A,0))</f>
        <v>420</v>
      </c>
      <c r="R209" s="7" t="n">
        <f aca="false">P209-I209*Q209</f>
        <v>1120</v>
      </c>
    </row>
    <row r="210" customFormat="false" ht="15" hidden="false" customHeight="true" outlineLevel="0" collapsed="false">
      <c r="A210" s="14" t="s">
        <v>457</v>
      </c>
      <c r="B210" s="15" t="n">
        <v>46030</v>
      </c>
      <c r="C210" s="5" t="s">
        <v>43</v>
      </c>
      <c r="D210" s="5" t="s">
        <v>44</v>
      </c>
      <c r="E210" s="14" t="s">
        <v>54</v>
      </c>
      <c r="F210" s="5" t="s">
        <v>46</v>
      </c>
      <c r="G210" s="5" t="s">
        <v>47</v>
      </c>
      <c r="H210" s="5" t="s">
        <v>55</v>
      </c>
      <c r="I210" s="5" t="n">
        <v>12</v>
      </c>
      <c r="J210" s="5" t="n">
        <v>1500</v>
      </c>
      <c r="K210" s="5" t="n">
        <v>0.05</v>
      </c>
      <c r="L210" s="14" t="s">
        <v>75</v>
      </c>
      <c r="M210" s="5"/>
      <c r="N210" s="5" t="s">
        <v>57</v>
      </c>
      <c r="O210" s="5"/>
      <c r="P210" s="7" t="n">
        <f aca="false">I210*J210*(1-K210)</f>
        <v>17100</v>
      </c>
      <c r="Q210" s="7" t="n">
        <f aca="false">INDEX(商品マスタ!$D:$D,MATCH(H210,商品マスタ!$A:$A,0))</f>
        <v>680</v>
      </c>
      <c r="R210" s="7" t="n">
        <f aca="false">P210-I210*Q210</f>
        <v>8940</v>
      </c>
    </row>
    <row r="211" customFormat="false" ht="15" hidden="false" customHeight="true" outlineLevel="0" collapsed="false">
      <c r="A211" s="14" t="s">
        <v>458</v>
      </c>
      <c r="B211" s="15" t="n">
        <v>46023</v>
      </c>
      <c r="C211" s="5" t="s">
        <v>53</v>
      </c>
      <c r="D211" s="5" t="s">
        <v>44</v>
      </c>
      <c r="E211" s="5" t="s">
        <v>459</v>
      </c>
      <c r="F211" s="5" t="s">
        <v>79</v>
      </c>
      <c r="G211" s="5" t="s">
        <v>67</v>
      </c>
      <c r="H211" s="5" t="s">
        <v>106</v>
      </c>
      <c r="I211" s="5" t="n">
        <v>2</v>
      </c>
      <c r="J211" s="5" t="n">
        <v>1400</v>
      </c>
      <c r="K211" s="5" t="n">
        <v>0.05</v>
      </c>
      <c r="L211" s="5" t="s">
        <v>81</v>
      </c>
      <c r="M211" s="5"/>
      <c r="N211" s="5" t="s">
        <v>57</v>
      </c>
      <c r="O211" s="5"/>
      <c r="P211" s="7" t="n">
        <f aca="false">I211*J211*(1-K211)</f>
        <v>2660</v>
      </c>
      <c r="Q211" s="7" t="n">
        <f aca="false">INDEX(商品マスタ!$D:$D,MATCH(H211,商品マスタ!$A:$A,0))</f>
        <v>610</v>
      </c>
      <c r="R211" s="7" t="n">
        <f aca="false">P211-I211*Q211</f>
        <v>1440</v>
      </c>
    </row>
    <row r="212" customFormat="false" ht="15" hidden="false" customHeight="true" outlineLevel="0" collapsed="false">
      <c r="A212" s="14" t="s">
        <v>460</v>
      </c>
      <c r="B212" s="15" t="n">
        <v>46035</v>
      </c>
      <c r="C212" s="5" t="s">
        <v>59</v>
      </c>
      <c r="D212" s="14" t="s">
        <v>70</v>
      </c>
      <c r="E212" s="5" t="s">
        <v>461</v>
      </c>
      <c r="F212" s="5"/>
      <c r="G212" s="5" t="s">
        <v>67</v>
      </c>
      <c r="H212" s="5" t="s">
        <v>68</v>
      </c>
      <c r="I212" s="5" t="n">
        <v>2</v>
      </c>
      <c r="J212" s="5" t="n">
        <v>1200</v>
      </c>
      <c r="K212" s="5" t="n">
        <v>0</v>
      </c>
      <c r="L212" s="5" t="s">
        <v>49</v>
      </c>
      <c r="M212" s="5"/>
      <c r="N212" s="5" t="s">
        <v>57</v>
      </c>
      <c r="O212" s="5"/>
      <c r="P212" s="7" t="n">
        <f aca="false">I212*J212*(1-K212)</f>
        <v>2400</v>
      </c>
      <c r="Q212" s="7" t="n">
        <f aca="false">INDEX(商品マスタ!$D:$D,MATCH(H212,商品マスタ!$A:$A,0))</f>
        <v>520</v>
      </c>
      <c r="R212" s="7" t="n">
        <f aca="false">P212-I212*Q212</f>
        <v>1360</v>
      </c>
    </row>
    <row r="213" customFormat="false" ht="15" hidden="false" customHeight="true" outlineLevel="0" collapsed="false">
      <c r="A213" s="14" t="s">
        <v>462</v>
      </c>
      <c r="B213" s="15" t="n">
        <v>46045</v>
      </c>
      <c r="C213" s="5" t="s">
        <v>43</v>
      </c>
      <c r="D213" s="5" t="s">
        <v>44</v>
      </c>
      <c r="E213" s="5" t="s">
        <v>463</v>
      </c>
      <c r="F213" s="5"/>
      <c r="G213" s="5" t="s">
        <v>62</v>
      </c>
      <c r="H213" s="5" t="s">
        <v>93</v>
      </c>
      <c r="I213" s="5" t="n">
        <v>2</v>
      </c>
      <c r="J213" s="5" t="n">
        <v>9800</v>
      </c>
      <c r="K213" s="5" t="n">
        <v>0</v>
      </c>
      <c r="L213" s="5" t="s">
        <v>81</v>
      </c>
      <c r="M213" s="5"/>
      <c r="N213" s="5" t="s">
        <v>57</v>
      </c>
      <c r="O213" s="5"/>
      <c r="P213" s="7" t="n">
        <f aca="false">I213*J213*(1-K213)</f>
        <v>19600</v>
      </c>
      <c r="Q213" s="7" t="n">
        <f aca="false">INDEX(商品マスタ!$D:$D,MATCH(H213,商品マスタ!$A:$A,0))</f>
        <v>5400</v>
      </c>
      <c r="R213" s="7" t="n">
        <f aca="false">P213-I213*Q213</f>
        <v>8800</v>
      </c>
    </row>
    <row r="214" customFormat="false" ht="15" hidden="false" customHeight="true" outlineLevel="0" collapsed="false">
      <c r="A214" s="14" t="s">
        <v>464</v>
      </c>
      <c r="B214" s="15" t="n">
        <v>46026</v>
      </c>
      <c r="C214" s="5" t="s">
        <v>43</v>
      </c>
      <c r="D214" s="5" t="s">
        <v>44</v>
      </c>
      <c r="E214" s="5" t="s">
        <v>465</v>
      </c>
      <c r="F214" s="5"/>
      <c r="G214" s="5" t="s">
        <v>62</v>
      </c>
      <c r="H214" s="5" t="s">
        <v>80</v>
      </c>
      <c r="I214" s="5" t="n">
        <v>3</v>
      </c>
      <c r="J214" s="5" t="n">
        <v>2800</v>
      </c>
      <c r="K214" s="5" t="n">
        <v>0.1</v>
      </c>
      <c r="L214" s="5" t="s">
        <v>81</v>
      </c>
      <c r="M214" s="5" t="s">
        <v>183</v>
      </c>
      <c r="N214" s="5" t="s">
        <v>51</v>
      </c>
      <c r="O214" s="5"/>
      <c r="P214" s="7" t="n">
        <f aca="false">I214*J214*(1-K214)</f>
        <v>7560</v>
      </c>
      <c r="Q214" s="7" t="n">
        <f aca="false">INDEX(商品マスタ!$D:$D,MATCH(H214,商品マスタ!$A:$A,0))</f>
        <v>1400</v>
      </c>
      <c r="R214" s="7" t="n">
        <f aca="false">P214-I214*Q214</f>
        <v>3360</v>
      </c>
    </row>
    <row r="215" customFormat="false" ht="15" hidden="false" customHeight="true" outlineLevel="0" collapsed="false">
      <c r="A215" s="14" t="s">
        <v>466</v>
      </c>
      <c r="B215" s="15" t="n">
        <v>46051</v>
      </c>
      <c r="C215" s="5" t="s">
        <v>53</v>
      </c>
      <c r="D215" s="5" t="s">
        <v>44</v>
      </c>
      <c r="E215" s="5" t="s">
        <v>135</v>
      </c>
      <c r="F215" s="5" t="s">
        <v>79</v>
      </c>
      <c r="G215" s="5" t="s">
        <v>67</v>
      </c>
      <c r="H215" s="5" t="s">
        <v>179</v>
      </c>
      <c r="I215" s="5" t="n">
        <v>4</v>
      </c>
      <c r="J215" s="5" t="n">
        <v>1600</v>
      </c>
      <c r="K215" s="5" t="n">
        <v>0</v>
      </c>
      <c r="L215" s="5" t="s">
        <v>81</v>
      </c>
      <c r="M215" s="5"/>
      <c r="N215" s="5" t="s">
        <v>57</v>
      </c>
      <c r="O215" s="5"/>
      <c r="P215" s="7" t="n">
        <f aca="false">I215*J215*(1-K215)</f>
        <v>6400</v>
      </c>
      <c r="Q215" s="7" t="n">
        <f aca="false">INDEX(商品マスタ!$D:$D,MATCH(H215,商品マスタ!$A:$A,0))</f>
        <v>700</v>
      </c>
      <c r="R215" s="7" t="n">
        <f aca="false">P215-I215*Q215</f>
        <v>3600</v>
      </c>
    </row>
    <row r="216" customFormat="false" ht="15" hidden="false" customHeight="true" outlineLevel="0" collapsed="false">
      <c r="A216" s="14" t="s">
        <v>467</v>
      </c>
      <c r="B216" s="15" t="n">
        <v>46036</v>
      </c>
      <c r="C216" s="5" t="s">
        <v>77</v>
      </c>
      <c r="D216" s="5" t="s">
        <v>44</v>
      </c>
      <c r="E216" s="5" t="s">
        <v>468</v>
      </c>
      <c r="F216" s="5" t="s">
        <v>79</v>
      </c>
      <c r="G216" s="5" t="s">
        <v>67</v>
      </c>
      <c r="H216" s="5" t="s">
        <v>88</v>
      </c>
      <c r="I216" s="5" t="n">
        <v>1</v>
      </c>
      <c r="J216" s="5" t="n">
        <v>2600</v>
      </c>
      <c r="K216" s="5" t="n">
        <v>0</v>
      </c>
      <c r="L216" s="5" t="s">
        <v>56</v>
      </c>
      <c r="M216" s="5"/>
      <c r="N216" s="5" t="s">
        <v>57</v>
      </c>
      <c r="O216" s="5"/>
      <c r="P216" s="7" t="n">
        <f aca="false">I216*J216*(1-K216)</f>
        <v>2600</v>
      </c>
      <c r="Q216" s="7" t="n">
        <f aca="false">INDEX(商品マスタ!$D:$D,MATCH(H216,商品マスタ!$A:$A,0))</f>
        <v>1150</v>
      </c>
      <c r="R216" s="7" t="n">
        <f aca="false">P216-I216*Q216</f>
        <v>1450</v>
      </c>
    </row>
    <row r="217" customFormat="false" ht="15" hidden="false" customHeight="true" outlineLevel="0" collapsed="false">
      <c r="A217" s="14" t="s">
        <v>469</v>
      </c>
      <c r="B217" s="15" t="n">
        <v>46040</v>
      </c>
      <c r="C217" s="5" t="s">
        <v>83</v>
      </c>
      <c r="D217" s="5" t="s">
        <v>44</v>
      </c>
      <c r="E217" s="5" t="s">
        <v>137</v>
      </c>
      <c r="F217" s="5" t="s">
        <v>46</v>
      </c>
      <c r="G217" s="5" t="s">
        <v>47</v>
      </c>
      <c r="H217" s="5" t="s">
        <v>55</v>
      </c>
      <c r="I217" s="5" t="n">
        <v>24</v>
      </c>
      <c r="J217" s="5" t="n">
        <v>1500</v>
      </c>
      <c r="K217" s="5" t="n">
        <v>0</v>
      </c>
      <c r="L217" s="5" t="s">
        <v>56</v>
      </c>
      <c r="M217" s="5"/>
      <c r="N217" s="5" t="s">
        <v>57</v>
      </c>
      <c r="O217" s="5"/>
      <c r="P217" s="7" t="n">
        <f aca="false">I217*J217*(1-K217)</f>
        <v>36000</v>
      </c>
      <c r="Q217" s="7" t="n">
        <f aca="false">INDEX(商品マスタ!$D:$D,MATCH(H217,商品マスタ!$A:$A,0))</f>
        <v>680</v>
      </c>
      <c r="R217" s="7" t="n">
        <f aca="false">P217-I217*Q217</f>
        <v>19680</v>
      </c>
    </row>
    <row r="218" customFormat="false" ht="15" hidden="false" customHeight="true" outlineLevel="0" collapsed="false">
      <c r="A218" s="14" t="s">
        <v>470</v>
      </c>
      <c r="B218" s="15" t="n">
        <v>46051</v>
      </c>
      <c r="C218" s="5" t="s">
        <v>53</v>
      </c>
      <c r="D218" s="5" t="s">
        <v>44</v>
      </c>
      <c r="E218" s="5" t="s">
        <v>137</v>
      </c>
      <c r="F218" s="5" t="s">
        <v>46</v>
      </c>
      <c r="G218" s="5" t="s">
        <v>47</v>
      </c>
      <c r="H218" s="5" t="s">
        <v>74</v>
      </c>
      <c r="I218" s="5" t="n">
        <v>10</v>
      </c>
      <c r="J218" s="5" t="n">
        <v>880</v>
      </c>
      <c r="K218" s="5" t="n">
        <v>0.1</v>
      </c>
      <c r="L218" s="14" t="s">
        <v>75</v>
      </c>
      <c r="M218" s="5"/>
      <c r="N218" s="5" t="s">
        <v>57</v>
      </c>
      <c r="O218" s="5"/>
      <c r="P218" s="7" t="n">
        <f aca="false">I218*J218*(1-K218)</f>
        <v>7920</v>
      </c>
      <c r="Q218" s="7" t="n">
        <f aca="false">INDEX(商品マスタ!$D:$D,MATCH(H218,商品マスタ!$A:$A,0))</f>
        <v>360</v>
      </c>
      <c r="R218" s="7" t="n">
        <f aca="false">P218-I218*Q218</f>
        <v>4320</v>
      </c>
    </row>
    <row r="219" customFormat="false" ht="15" hidden="false" customHeight="true" outlineLevel="0" collapsed="false">
      <c r="A219" s="14" t="s">
        <v>471</v>
      </c>
      <c r="B219" s="15" t="n">
        <v>46036</v>
      </c>
      <c r="C219" s="5" t="s">
        <v>77</v>
      </c>
      <c r="D219" s="5" t="s">
        <v>44</v>
      </c>
      <c r="E219" s="5" t="s">
        <v>472</v>
      </c>
      <c r="F219" s="5" t="s">
        <v>61</v>
      </c>
      <c r="G219" s="5" t="s">
        <v>67</v>
      </c>
      <c r="H219" s="5" t="s">
        <v>106</v>
      </c>
      <c r="I219" s="5" t="n">
        <v>4</v>
      </c>
      <c r="J219" s="5" t="n">
        <v>1400</v>
      </c>
      <c r="K219" s="5" t="n">
        <v>0</v>
      </c>
      <c r="L219" s="5" t="s">
        <v>81</v>
      </c>
      <c r="M219" s="5"/>
      <c r="N219" s="5" t="s">
        <v>57</v>
      </c>
      <c r="O219" s="5"/>
      <c r="P219" s="7" t="n">
        <f aca="false">I219*J219*(1-K219)</f>
        <v>5600</v>
      </c>
      <c r="Q219" s="7" t="n">
        <f aca="false">INDEX(商品マスタ!$D:$D,MATCH(H219,商品マスタ!$A:$A,0))</f>
        <v>610</v>
      </c>
      <c r="R219" s="7" t="n">
        <f aca="false">P219-I219*Q219</f>
        <v>3160</v>
      </c>
    </row>
    <row r="220" customFormat="false" ht="15" hidden="false" customHeight="true" outlineLevel="0" collapsed="false">
      <c r="A220" s="14" t="s">
        <v>473</v>
      </c>
      <c r="B220" s="15" t="n">
        <v>46033</v>
      </c>
      <c r="C220" s="5" t="s">
        <v>59</v>
      </c>
      <c r="D220" s="14" t="s">
        <v>70</v>
      </c>
      <c r="E220" s="5" t="s">
        <v>474</v>
      </c>
      <c r="F220" s="5"/>
      <c r="G220" s="5" t="s">
        <v>67</v>
      </c>
      <c r="H220" s="5" t="s">
        <v>88</v>
      </c>
      <c r="I220" s="5" t="n">
        <v>1</v>
      </c>
      <c r="J220" s="5" t="n">
        <v>2600</v>
      </c>
      <c r="K220" s="5" t="n">
        <v>0</v>
      </c>
      <c r="L220" s="5" t="s">
        <v>81</v>
      </c>
      <c r="M220" s="5"/>
      <c r="N220" s="5" t="s">
        <v>57</v>
      </c>
      <c r="O220" s="5"/>
      <c r="P220" s="7" t="n">
        <f aca="false">I220*J220*(1-K220)</f>
        <v>2600</v>
      </c>
      <c r="Q220" s="7" t="n">
        <f aca="false">INDEX(商品マスタ!$D:$D,MATCH(H220,商品マスタ!$A:$A,0))</f>
        <v>1150</v>
      </c>
      <c r="R220" s="7" t="n">
        <f aca="false">P220-I220*Q220</f>
        <v>1450</v>
      </c>
    </row>
    <row r="221" customFormat="false" ht="15" hidden="false" customHeight="true" outlineLevel="0" collapsed="false">
      <c r="A221" s="14" t="s">
        <v>475</v>
      </c>
      <c r="B221" s="15" t="n">
        <v>46042</v>
      </c>
      <c r="C221" s="5" t="s">
        <v>53</v>
      </c>
      <c r="D221" s="14" t="s">
        <v>70</v>
      </c>
      <c r="E221" s="5" t="s">
        <v>476</v>
      </c>
      <c r="F221" s="5" t="s">
        <v>61</v>
      </c>
      <c r="G221" s="5" t="s">
        <v>62</v>
      </c>
      <c r="H221" s="5" t="s">
        <v>80</v>
      </c>
      <c r="I221" s="5" t="n">
        <v>1</v>
      </c>
      <c r="J221" s="5" t="n">
        <v>2800</v>
      </c>
      <c r="K221" s="5" t="n">
        <v>0</v>
      </c>
      <c r="L221" s="5" t="s">
        <v>49</v>
      </c>
      <c r="M221" s="5"/>
      <c r="N221" s="5" t="s">
        <v>57</v>
      </c>
      <c r="O221" s="5"/>
      <c r="P221" s="7" t="n">
        <f aca="false">I221*J221*(1-K221)</f>
        <v>2800</v>
      </c>
      <c r="Q221" s="7" t="n">
        <f aca="false">INDEX(商品マスタ!$D:$D,MATCH(H221,商品マスタ!$A:$A,0))</f>
        <v>1400</v>
      </c>
      <c r="R221" s="7" t="n">
        <f aca="false">P221-I221*Q221</f>
        <v>1400</v>
      </c>
    </row>
    <row r="222" customFormat="false" ht="15" hidden="false" customHeight="true" outlineLevel="0" collapsed="false">
      <c r="A222" s="14" t="s">
        <v>477</v>
      </c>
      <c r="B222" s="15" t="n">
        <v>46041</v>
      </c>
      <c r="C222" s="5" t="s">
        <v>59</v>
      </c>
      <c r="D222" s="14" t="s">
        <v>70</v>
      </c>
      <c r="E222" s="5" t="s">
        <v>478</v>
      </c>
      <c r="F222" s="5" t="s">
        <v>61</v>
      </c>
      <c r="G222" s="5" t="s">
        <v>116</v>
      </c>
      <c r="H222" s="5" t="s">
        <v>120</v>
      </c>
      <c r="I222" s="5" t="n">
        <v>2</v>
      </c>
      <c r="J222" s="5" t="n">
        <v>3800</v>
      </c>
      <c r="K222" s="5" t="n">
        <v>0</v>
      </c>
      <c r="L222" s="5" t="s">
        <v>56</v>
      </c>
      <c r="M222" s="5"/>
      <c r="N222" s="5" t="s">
        <v>57</v>
      </c>
      <c r="O222" s="5"/>
      <c r="P222" s="7" t="n">
        <f aca="false">I222*J222*(1-K222)</f>
        <v>7600</v>
      </c>
      <c r="Q222" s="7" t="n">
        <f aca="false">INDEX(商品マスタ!$D:$D,MATCH(H222,商品マスタ!$A:$A,0))</f>
        <v>1900</v>
      </c>
      <c r="R222" s="7" t="n">
        <f aca="false">P222-I222*Q222</f>
        <v>3800</v>
      </c>
    </row>
    <row r="223" customFormat="false" ht="15" hidden="false" customHeight="true" outlineLevel="0" collapsed="false">
      <c r="A223" s="14" t="s">
        <v>479</v>
      </c>
      <c r="B223" s="15" t="n">
        <v>46041</v>
      </c>
      <c r="C223" s="5" t="s">
        <v>77</v>
      </c>
      <c r="D223" s="5" t="s">
        <v>44</v>
      </c>
      <c r="E223" s="5" t="s">
        <v>480</v>
      </c>
      <c r="F223" s="5" t="s">
        <v>61</v>
      </c>
      <c r="G223" s="5" t="s">
        <v>67</v>
      </c>
      <c r="H223" s="5" t="s">
        <v>68</v>
      </c>
      <c r="I223" s="5" t="n">
        <v>1</v>
      </c>
      <c r="J223" s="5" t="n">
        <v>1200</v>
      </c>
      <c r="K223" s="5" t="n">
        <v>0</v>
      </c>
      <c r="L223" s="5" t="s">
        <v>81</v>
      </c>
      <c r="M223" s="5"/>
      <c r="N223" s="5" t="s">
        <v>57</v>
      </c>
      <c r="O223" s="5"/>
      <c r="P223" s="7" t="n">
        <f aca="false">I223*J223*(1-K223)</f>
        <v>1200</v>
      </c>
      <c r="Q223" s="7" t="n">
        <f aca="false">INDEX(商品マスタ!$D:$D,MATCH(H223,商品マスタ!$A:$A,0))</f>
        <v>520</v>
      </c>
      <c r="R223" s="7" t="n">
        <f aca="false">P223-I223*Q223</f>
        <v>680</v>
      </c>
    </row>
    <row r="224" customFormat="false" ht="15" hidden="false" customHeight="true" outlineLevel="0" collapsed="false">
      <c r="A224" s="14" t="s">
        <v>481</v>
      </c>
      <c r="B224" s="15" t="n">
        <v>46029</v>
      </c>
      <c r="C224" s="5" t="s">
        <v>43</v>
      </c>
      <c r="D224" s="14" t="s">
        <v>70</v>
      </c>
      <c r="E224" s="5" t="s">
        <v>482</v>
      </c>
      <c r="F224" s="5"/>
      <c r="G224" s="5" t="s">
        <v>47</v>
      </c>
      <c r="H224" s="5" t="s">
        <v>74</v>
      </c>
      <c r="I224" s="5" t="n">
        <v>4</v>
      </c>
      <c r="J224" s="5" t="n">
        <v>880</v>
      </c>
      <c r="K224" s="5" t="n">
        <v>0</v>
      </c>
      <c r="L224" s="5" t="s">
        <v>81</v>
      </c>
      <c r="M224" s="5" t="s">
        <v>50</v>
      </c>
      <c r="N224" s="5" t="s">
        <v>51</v>
      </c>
      <c r="O224" s="5"/>
      <c r="P224" s="7" t="n">
        <f aca="false">I224*J224*(1-K224)</f>
        <v>3520</v>
      </c>
      <c r="Q224" s="7" t="n">
        <f aca="false">INDEX(商品マスタ!$D:$D,MATCH(H224,商品マスタ!$A:$A,0))</f>
        <v>360</v>
      </c>
      <c r="R224" s="7" t="n">
        <f aca="false">P224-I224*Q224</f>
        <v>2080</v>
      </c>
    </row>
    <row r="225" customFormat="false" ht="15" hidden="false" customHeight="true" outlineLevel="0" collapsed="false">
      <c r="A225" s="14" t="s">
        <v>483</v>
      </c>
      <c r="B225" s="15" t="n">
        <v>46041</v>
      </c>
      <c r="C225" s="5" t="s">
        <v>43</v>
      </c>
      <c r="D225" s="14" t="s">
        <v>70</v>
      </c>
      <c r="E225" s="5" t="s">
        <v>484</v>
      </c>
      <c r="F225" s="5" t="s">
        <v>79</v>
      </c>
      <c r="G225" s="5" t="s">
        <v>62</v>
      </c>
      <c r="H225" s="5" t="s">
        <v>80</v>
      </c>
      <c r="I225" s="5" t="n">
        <v>1</v>
      </c>
      <c r="J225" s="5" t="n">
        <v>2800</v>
      </c>
      <c r="K225" s="5" t="n">
        <v>0</v>
      </c>
      <c r="L225" s="5" t="s">
        <v>64</v>
      </c>
      <c r="M225" s="5"/>
      <c r="N225" s="5" t="s">
        <v>57</v>
      </c>
      <c r="O225" s="5"/>
      <c r="P225" s="7" t="n">
        <f aca="false">I225*J225*(1-K225)</f>
        <v>2800</v>
      </c>
      <c r="Q225" s="7" t="n">
        <f aca="false">INDEX(商品マスタ!$D:$D,MATCH(H225,商品マスタ!$A:$A,0))</f>
        <v>1400</v>
      </c>
      <c r="R225" s="7" t="n">
        <f aca="false">P225-I225*Q225</f>
        <v>1400</v>
      </c>
    </row>
    <row r="226" customFormat="false" ht="15" hidden="false" customHeight="true" outlineLevel="0" collapsed="false">
      <c r="A226" s="14" t="s">
        <v>485</v>
      </c>
      <c r="B226" s="15" t="n">
        <v>46044</v>
      </c>
      <c r="C226" s="5" t="s">
        <v>59</v>
      </c>
      <c r="D226" s="5" t="s">
        <v>44</v>
      </c>
      <c r="E226" s="5" t="s">
        <v>482</v>
      </c>
      <c r="F226" s="5" t="s">
        <v>79</v>
      </c>
      <c r="G226" s="5" t="s">
        <v>67</v>
      </c>
      <c r="H226" s="5" t="s">
        <v>88</v>
      </c>
      <c r="I226" s="5" t="n">
        <v>4</v>
      </c>
      <c r="J226" s="5" t="n">
        <v>2600</v>
      </c>
      <c r="K226" s="5" t="n">
        <v>0</v>
      </c>
      <c r="L226" s="14" t="s">
        <v>125</v>
      </c>
      <c r="M226" s="5"/>
      <c r="N226" s="5" t="s">
        <v>57</v>
      </c>
      <c r="O226" s="5"/>
      <c r="P226" s="7" t="n">
        <f aca="false">I226*J226*(1-K226)</f>
        <v>10400</v>
      </c>
      <c r="Q226" s="7" t="n">
        <f aca="false">INDEX(商品マスタ!$D:$D,MATCH(H226,商品マスタ!$A:$A,0))</f>
        <v>1150</v>
      </c>
      <c r="R226" s="7" t="n">
        <f aca="false">P226-I226*Q226</f>
        <v>5800</v>
      </c>
    </row>
    <row r="227" customFormat="false" ht="15" hidden="false" customHeight="true" outlineLevel="0" collapsed="false">
      <c r="A227" s="14" t="s">
        <v>486</v>
      </c>
      <c r="B227" s="15" t="n">
        <v>46024</v>
      </c>
      <c r="C227" s="5" t="s">
        <v>53</v>
      </c>
      <c r="D227" s="5" t="s">
        <v>44</v>
      </c>
      <c r="E227" s="5" t="s">
        <v>487</v>
      </c>
      <c r="F227" s="5"/>
      <c r="G227" s="5" t="s">
        <v>62</v>
      </c>
      <c r="H227" s="5" t="s">
        <v>63</v>
      </c>
      <c r="I227" s="5" t="n">
        <v>2</v>
      </c>
      <c r="J227" s="5" t="n">
        <v>480</v>
      </c>
      <c r="K227" s="5" t="n">
        <v>0</v>
      </c>
      <c r="L227" s="5" t="s">
        <v>81</v>
      </c>
      <c r="M227" s="5"/>
      <c r="N227" s="5" t="s">
        <v>57</v>
      </c>
      <c r="O227" s="5"/>
      <c r="P227" s="7" t="n">
        <f aca="false">I227*J227*(1-K227)</f>
        <v>960</v>
      </c>
      <c r="Q227" s="7" t="n">
        <f aca="false">INDEX(商品マスタ!$D:$D,MATCH(H227,商品マスタ!$A:$A,0))</f>
        <v>180</v>
      </c>
      <c r="R227" s="7" t="n">
        <f aca="false">P227-I227*Q227</f>
        <v>600</v>
      </c>
    </row>
    <row r="228" customFormat="false" ht="15" hidden="false" customHeight="true" outlineLevel="0" collapsed="false">
      <c r="A228" s="14" t="s">
        <v>488</v>
      </c>
      <c r="B228" s="15" t="n">
        <v>46031</v>
      </c>
      <c r="C228" s="5" t="s">
        <v>53</v>
      </c>
      <c r="D228" s="5" t="s">
        <v>44</v>
      </c>
      <c r="E228" s="5" t="s">
        <v>489</v>
      </c>
      <c r="F228" s="5" t="s">
        <v>61</v>
      </c>
      <c r="G228" s="5" t="s">
        <v>67</v>
      </c>
      <c r="H228" s="5" t="s">
        <v>68</v>
      </c>
      <c r="I228" s="5" t="n">
        <v>1</v>
      </c>
      <c r="J228" s="5" t="n">
        <v>1200</v>
      </c>
      <c r="K228" s="5" t="n">
        <v>0.1</v>
      </c>
      <c r="L228" s="5" t="s">
        <v>49</v>
      </c>
      <c r="M228" s="5"/>
      <c r="N228" s="5" t="s">
        <v>57</v>
      </c>
      <c r="O228" s="5"/>
      <c r="P228" s="7" t="n">
        <f aca="false">I228*J228*(1-K228)</f>
        <v>1080</v>
      </c>
      <c r="Q228" s="7" t="n">
        <f aca="false">INDEX(商品マスタ!$D:$D,MATCH(H228,商品マスタ!$A:$A,0))</f>
        <v>520</v>
      </c>
      <c r="R228" s="7" t="n">
        <f aca="false">P228-I228*Q228</f>
        <v>560</v>
      </c>
    </row>
    <row r="229" customFormat="false" ht="15" hidden="false" customHeight="true" outlineLevel="0" collapsed="false">
      <c r="A229" s="14" t="s">
        <v>490</v>
      </c>
      <c r="B229" s="15" t="n">
        <v>46033</v>
      </c>
      <c r="C229" s="5" t="s">
        <v>53</v>
      </c>
      <c r="D229" s="14" t="s">
        <v>70</v>
      </c>
      <c r="E229" s="14" t="s">
        <v>54</v>
      </c>
      <c r="F229" s="5" t="s">
        <v>46</v>
      </c>
      <c r="G229" s="5" t="s">
        <v>47</v>
      </c>
      <c r="H229" s="5" t="s">
        <v>48</v>
      </c>
      <c r="I229" s="5" t="n">
        <v>20</v>
      </c>
      <c r="J229" s="5" t="n">
        <v>980</v>
      </c>
      <c r="K229" s="5" t="n">
        <v>0</v>
      </c>
      <c r="L229" s="14" t="s">
        <v>75</v>
      </c>
      <c r="M229" s="5"/>
      <c r="N229" s="5" t="s">
        <v>57</v>
      </c>
      <c r="O229" s="5"/>
      <c r="P229" s="7" t="n">
        <f aca="false">I229*J229*(1-K229)</f>
        <v>19600</v>
      </c>
      <c r="Q229" s="7" t="n">
        <f aca="false">INDEX(商品マスタ!$D:$D,MATCH(H229,商品マスタ!$A:$A,0))</f>
        <v>420</v>
      </c>
      <c r="R229" s="7" t="n">
        <f aca="false">P229-I229*Q229</f>
        <v>11200</v>
      </c>
    </row>
    <row r="230" customFormat="false" ht="15" hidden="false" customHeight="true" outlineLevel="0" collapsed="false">
      <c r="A230" s="14" t="s">
        <v>491</v>
      </c>
      <c r="B230" s="15" t="n">
        <v>46050</v>
      </c>
      <c r="C230" s="5" t="s">
        <v>43</v>
      </c>
      <c r="D230" s="5" t="s">
        <v>44</v>
      </c>
      <c r="E230" s="5" t="s">
        <v>492</v>
      </c>
      <c r="F230" s="5" t="s">
        <v>79</v>
      </c>
      <c r="G230" s="5" t="s">
        <v>62</v>
      </c>
      <c r="H230" s="5" t="s">
        <v>63</v>
      </c>
      <c r="I230" s="5" t="n">
        <v>1</v>
      </c>
      <c r="J230" s="5" t="n">
        <v>480</v>
      </c>
      <c r="K230" s="5" t="n">
        <v>0</v>
      </c>
      <c r="L230" s="5" t="s">
        <v>49</v>
      </c>
      <c r="M230" s="5"/>
      <c r="N230" s="5" t="s">
        <v>57</v>
      </c>
      <c r="O230" s="5"/>
      <c r="P230" s="7" t="n">
        <f aca="false">I230*J230*(1-K230)</f>
        <v>480</v>
      </c>
      <c r="Q230" s="7" t="n">
        <f aca="false">INDEX(商品マスタ!$D:$D,MATCH(H230,商品マスタ!$A:$A,0))</f>
        <v>180</v>
      </c>
      <c r="R230" s="7" t="n">
        <f aca="false">P230-I230*Q230</f>
        <v>300</v>
      </c>
    </row>
    <row r="231" customFormat="false" ht="15" hidden="false" customHeight="true" outlineLevel="0" collapsed="false">
      <c r="A231" s="14" t="s">
        <v>493</v>
      </c>
      <c r="B231" s="15" t="n">
        <v>46035</v>
      </c>
      <c r="C231" s="5" t="s">
        <v>59</v>
      </c>
      <c r="D231" s="14" t="s">
        <v>70</v>
      </c>
      <c r="E231" s="5" t="s">
        <v>494</v>
      </c>
      <c r="F231" s="5"/>
      <c r="G231" s="5" t="s">
        <v>116</v>
      </c>
      <c r="H231" s="5" t="s">
        <v>174</v>
      </c>
      <c r="I231" s="5" t="n">
        <v>1</v>
      </c>
      <c r="J231" s="5" t="n">
        <v>5800</v>
      </c>
      <c r="K231" s="5" t="n">
        <v>0</v>
      </c>
      <c r="L231" s="5" t="s">
        <v>81</v>
      </c>
      <c r="M231" s="5"/>
      <c r="N231" s="5" t="s">
        <v>57</v>
      </c>
      <c r="O231" s="5"/>
      <c r="P231" s="7" t="n">
        <f aca="false">I231*J231*(1-K231)</f>
        <v>5800</v>
      </c>
      <c r="Q231" s="7" t="n">
        <f aca="false">INDEX(商品マスタ!$D:$D,MATCH(H231,商品マスタ!$A:$A,0))</f>
        <v>2900</v>
      </c>
      <c r="R231" s="7" t="n">
        <f aca="false">P231-I231*Q231</f>
        <v>2900</v>
      </c>
    </row>
    <row r="232" customFormat="false" ht="15" hidden="false" customHeight="true" outlineLevel="0" collapsed="false">
      <c r="A232" s="14" t="s">
        <v>495</v>
      </c>
      <c r="B232" s="15" t="n">
        <v>46051</v>
      </c>
      <c r="C232" s="5" t="s">
        <v>43</v>
      </c>
      <c r="D232" s="14" t="s">
        <v>70</v>
      </c>
      <c r="E232" s="5" t="s">
        <v>137</v>
      </c>
      <c r="F232" s="5" t="s">
        <v>46</v>
      </c>
      <c r="G232" s="5" t="s">
        <v>62</v>
      </c>
      <c r="H232" s="5" t="s">
        <v>63</v>
      </c>
      <c r="I232" s="5" t="n">
        <v>10</v>
      </c>
      <c r="J232" s="5" t="n">
        <v>480</v>
      </c>
      <c r="K232" s="5" t="n">
        <v>0.05</v>
      </c>
      <c r="L232" s="5" t="s">
        <v>64</v>
      </c>
      <c r="M232" s="5"/>
      <c r="N232" s="5" t="s">
        <v>57</v>
      </c>
      <c r="O232" s="5"/>
      <c r="P232" s="7" t="n">
        <f aca="false">I232*J232*(1-K232)</f>
        <v>4560</v>
      </c>
      <c r="Q232" s="7" t="n">
        <f aca="false">INDEX(商品マスタ!$D:$D,MATCH(H232,商品マスタ!$A:$A,0))</f>
        <v>180</v>
      </c>
      <c r="R232" s="7" t="n">
        <f aca="false">P232-I232*Q232</f>
        <v>2760</v>
      </c>
    </row>
    <row r="233" customFormat="false" ht="15" hidden="false" customHeight="true" outlineLevel="0" collapsed="false">
      <c r="A233" s="14" t="s">
        <v>496</v>
      </c>
      <c r="B233" s="15" t="n">
        <v>46046</v>
      </c>
      <c r="C233" s="5" t="s">
        <v>59</v>
      </c>
      <c r="D233" s="5" t="s">
        <v>44</v>
      </c>
      <c r="E233" s="5" t="s">
        <v>497</v>
      </c>
      <c r="F233" s="5" t="s">
        <v>79</v>
      </c>
      <c r="G233" s="5" t="s">
        <v>62</v>
      </c>
      <c r="H233" s="5" t="s">
        <v>85</v>
      </c>
      <c r="I233" s="5" t="n">
        <v>2</v>
      </c>
      <c r="J233" s="5" t="n">
        <v>3200</v>
      </c>
      <c r="K233" s="5" t="n">
        <v>0</v>
      </c>
      <c r="L233" s="5" t="s">
        <v>81</v>
      </c>
      <c r="M233" s="5"/>
      <c r="N233" s="5" t="s">
        <v>57</v>
      </c>
      <c r="O233" s="5"/>
      <c r="P233" s="7" t="n">
        <f aca="false">I233*J233*(1-K233)</f>
        <v>6400</v>
      </c>
      <c r="Q233" s="7" t="n">
        <f aca="false">INDEX(商品マスタ!$D:$D,MATCH(H233,商品マスタ!$A:$A,0))</f>
        <v>1600</v>
      </c>
      <c r="R233" s="7" t="n">
        <f aca="false">P233-I233*Q233</f>
        <v>3200</v>
      </c>
    </row>
    <row r="234" customFormat="false" ht="15" hidden="false" customHeight="true" outlineLevel="0" collapsed="false">
      <c r="A234" s="14" t="s">
        <v>498</v>
      </c>
      <c r="B234" s="15" t="n">
        <v>46043</v>
      </c>
      <c r="C234" s="5" t="s">
        <v>43</v>
      </c>
      <c r="D234" s="14" t="s">
        <v>70</v>
      </c>
      <c r="E234" s="5" t="s">
        <v>201</v>
      </c>
      <c r="F234" s="5" t="s">
        <v>46</v>
      </c>
      <c r="G234" s="5" t="s">
        <v>116</v>
      </c>
      <c r="H234" s="5" t="s">
        <v>174</v>
      </c>
      <c r="I234" s="5" t="n">
        <v>5</v>
      </c>
      <c r="J234" s="5" t="n">
        <v>5800</v>
      </c>
      <c r="K234" s="5" t="n">
        <v>0.05</v>
      </c>
      <c r="L234" s="5" t="s">
        <v>49</v>
      </c>
      <c r="M234" s="5"/>
      <c r="N234" s="5" t="s">
        <v>57</v>
      </c>
      <c r="O234" s="5"/>
      <c r="P234" s="7" t="n">
        <f aca="false">I234*J234*(1-K234)</f>
        <v>27550</v>
      </c>
      <c r="Q234" s="7" t="n">
        <f aca="false">INDEX(商品マスタ!$D:$D,MATCH(H234,商品マスタ!$A:$A,0))</f>
        <v>2900</v>
      </c>
      <c r="R234" s="7" t="n">
        <f aca="false">P234-I234*Q234</f>
        <v>13050</v>
      </c>
    </row>
    <row r="235" customFormat="false" ht="15" hidden="false" customHeight="true" outlineLevel="0" collapsed="false">
      <c r="A235" s="14" t="s">
        <v>499</v>
      </c>
      <c r="B235" s="15" t="n">
        <v>46050</v>
      </c>
      <c r="C235" s="5" t="s">
        <v>59</v>
      </c>
      <c r="D235" s="5" t="s">
        <v>44</v>
      </c>
      <c r="E235" s="5" t="s">
        <v>78</v>
      </c>
      <c r="F235" s="5" t="s">
        <v>61</v>
      </c>
      <c r="G235" s="5" t="s">
        <v>67</v>
      </c>
      <c r="H235" s="5" t="s">
        <v>88</v>
      </c>
      <c r="I235" s="5" t="n">
        <v>1</v>
      </c>
      <c r="J235" s="5" t="n">
        <v>2600</v>
      </c>
      <c r="K235" s="5" t="n">
        <v>0.1</v>
      </c>
      <c r="L235" s="5" t="s">
        <v>49</v>
      </c>
      <c r="M235" s="5"/>
      <c r="N235" s="5" t="s">
        <v>57</v>
      </c>
      <c r="O235" s="5"/>
      <c r="P235" s="7" t="n">
        <f aca="false">I235*J235*(1-K235)</f>
        <v>2340</v>
      </c>
      <c r="Q235" s="7" t="n">
        <f aca="false">INDEX(商品マスタ!$D:$D,MATCH(H235,商品マスタ!$A:$A,0))</f>
        <v>1150</v>
      </c>
      <c r="R235" s="7" t="n">
        <f aca="false">P235-I235*Q235</f>
        <v>1190</v>
      </c>
    </row>
    <row r="236" customFormat="false" ht="15" hidden="false" customHeight="true" outlineLevel="0" collapsed="false">
      <c r="A236" s="14" t="s">
        <v>500</v>
      </c>
      <c r="B236" s="15" t="n">
        <v>46047</v>
      </c>
      <c r="C236" s="5" t="s">
        <v>83</v>
      </c>
      <c r="D236" s="5" t="s">
        <v>44</v>
      </c>
      <c r="E236" s="5" t="s">
        <v>501</v>
      </c>
      <c r="F236" s="5" t="s">
        <v>61</v>
      </c>
      <c r="G236" s="5" t="s">
        <v>116</v>
      </c>
      <c r="H236" s="5" t="s">
        <v>174</v>
      </c>
      <c r="I236" s="5" t="n">
        <v>2</v>
      </c>
      <c r="J236" s="5" t="n">
        <v>5800</v>
      </c>
      <c r="K236" s="5" t="n">
        <v>0.1</v>
      </c>
      <c r="L236" s="5" t="s">
        <v>81</v>
      </c>
      <c r="M236" s="5"/>
      <c r="N236" s="5" t="s">
        <v>57</v>
      </c>
      <c r="O236" s="5"/>
      <c r="P236" s="7" t="n">
        <f aca="false">I236*J236*(1-K236)</f>
        <v>10440</v>
      </c>
      <c r="Q236" s="7" t="n">
        <f aca="false">INDEX(商品マスタ!$D:$D,MATCH(H236,商品マスタ!$A:$A,0))</f>
        <v>2900</v>
      </c>
      <c r="R236" s="7" t="n">
        <f aca="false">P236-I236*Q236</f>
        <v>4640</v>
      </c>
    </row>
    <row r="237" customFormat="false" ht="15" hidden="false" customHeight="true" outlineLevel="0" collapsed="false">
      <c r="A237" s="14" t="s">
        <v>502</v>
      </c>
      <c r="B237" s="15" t="n">
        <v>46025</v>
      </c>
      <c r="C237" s="5" t="s">
        <v>43</v>
      </c>
      <c r="D237" s="5" t="s">
        <v>44</v>
      </c>
      <c r="E237" s="5" t="s">
        <v>503</v>
      </c>
      <c r="F237" s="5"/>
      <c r="G237" s="5" t="s">
        <v>67</v>
      </c>
      <c r="H237" s="5" t="s">
        <v>88</v>
      </c>
      <c r="I237" s="5" t="n">
        <v>2</v>
      </c>
      <c r="J237" s="5" t="n">
        <v>2600</v>
      </c>
      <c r="K237" s="5" t="n">
        <v>0.1</v>
      </c>
      <c r="L237" s="5" t="s">
        <v>81</v>
      </c>
      <c r="M237" s="5"/>
      <c r="N237" s="5" t="s">
        <v>57</v>
      </c>
      <c r="O237" s="5"/>
      <c r="P237" s="7" t="n">
        <f aca="false">I237*J237*(1-K237)</f>
        <v>4680</v>
      </c>
      <c r="Q237" s="7" t="n">
        <f aca="false">INDEX(商品マスタ!$D:$D,MATCH(H237,商品マスタ!$A:$A,0))</f>
        <v>1150</v>
      </c>
      <c r="R237" s="7" t="n">
        <f aca="false">P237-I237*Q237</f>
        <v>2380</v>
      </c>
    </row>
    <row r="238" customFormat="false" ht="15" hidden="false" customHeight="true" outlineLevel="0" collapsed="false">
      <c r="A238" s="14" t="s">
        <v>504</v>
      </c>
      <c r="B238" s="15" t="n">
        <v>46037</v>
      </c>
      <c r="C238" s="5" t="s">
        <v>53</v>
      </c>
      <c r="D238" s="5" t="s">
        <v>44</v>
      </c>
      <c r="E238" s="5" t="s">
        <v>234</v>
      </c>
      <c r="F238" s="5" t="s">
        <v>46</v>
      </c>
      <c r="G238" s="5" t="s">
        <v>116</v>
      </c>
      <c r="H238" s="5" t="s">
        <v>117</v>
      </c>
      <c r="I238" s="5" t="n">
        <v>5</v>
      </c>
      <c r="J238" s="5" t="n">
        <v>1800</v>
      </c>
      <c r="K238" s="5" t="n">
        <v>0</v>
      </c>
      <c r="L238" s="5" t="s">
        <v>64</v>
      </c>
      <c r="M238" s="5"/>
      <c r="N238" s="5" t="s">
        <v>57</v>
      </c>
      <c r="O238" s="5"/>
      <c r="P238" s="7" t="n">
        <f aca="false">I238*J238*(1-K238)</f>
        <v>9000</v>
      </c>
      <c r="Q238" s="7" t="n">
        <f aca="false">INDEX(商品マスタ!$D:$D,MATCH(H238,商品マスタ!$A:$A,0))</f>
        <v>760</v>
      </c>
      <c r="R238" s="7" t="n">
        <f aca="false">P238-I238*Q238</f>
        <v>5200</v>
      </c>
    </row>
    <row r="239" customFormat="false" ht="15" hidden="false" customHeight="true" outlineLevel="0" collapsed="false">
      <c r="A239" s="14" t="s">
        <v>505</v>
      </c>
      <c r="B239" s="15" t="n">
        <v>46053</v>
      </c>
      <c r="C239" s="5" t="s">
        <v>59</v>
      </c>
      <c r="D239" s="5" t="s">
        <v>44</v>
      </c>
      <c r="E239" s="5" t="s">
        <v>506</v>
      </c>
      <c r="F239" s="5" t="s">
        <v>61</v>
      </c>
      <c r="G239" s="5" t="s">
        <v>47</v>
      </c>
      <c r="H239" s="5" t="s">
        <v>48</v>
      </c>
      <c r="I239" s="5" t="n">
        <v>4</v>
      </c>
      <c r="J239" s="5" t="n">
        <v>980</v>
      </c>
      <c r="K239" s="5" t="n">
        <v>0.05</v>
      </c>
      <c r="L239" s="5" t="s">
        <v>49</v>
      </c>
      <c r="M239" s="5"/>
      <c r="N239" s="5" t="s">
        <v>57</v>
      </c>
      <c r="O239" s="5"/>
      <c r="P239" s="7" t="n">
        <f aca="false">I239*J239*(1-K239)</f>
        <v>3724</v>
      </c>
      <c r="Q239" s="7" t="n">
        <f aca="false">INDEX(商品マスタ!$D:$D,MATCH(H239,商品マスタ!$A:$A,0))</f>
        <v>420</v>
      </c>
      <c r="R239" s="7" t="n">
        <f aca="false">P239-I239*Q239</f>
        <v>2044</v>
      </c>
    </row>
    <row r="240" customFormat="false" ht="15" hidden="false" customHeight="true" outlineLevel="0" collapsed="false">
      <c r="A240" s="14" t="s">
        <v>507</v>
      </c>
      <c r="B240" s="15" t="n">
        <v>46035</v>
      </c>
      <c r="C240" s="5" t="s">
        <v>53</v>
      </c>
      <c r="D240" s="5" t="s">
        <v>44</v>
      </c>
      <c r="E240" s="5" t="s">
        <v>508</v>
      </c>
      <c r="F240" s="5" t="s">
        <v>61</v>
      </c>
      <c r="G240" s="5" t="s">
        <v>67</v>
      </c>
      <c r="H240" s="5" t="s">
        <v>88</v>
      </c>
      <c r="I240" s="5" t="n">
        <v>1</v>
      </c>
      <c r="J240" s="5" t="n">
        <v>2600</v>
      </c>
      <c r="K240" s="5" t="n">
        <v>0</v>
      </c>
      <c r="L240" s="5" t="s">
        <v>49</v>
      </c>
      <c r="M240" s="5"/>
      <c r="N240" s="5" t="s">
        <v>57</v>
      </c>
      <c r="O240" s="5"/>
      <c r="P240" s="7" t="n">
        <f aca="false">I240*J240*(1-K240)</f>
        <v>2600</v>
      </c>
      <c r="Q240" s="7" t="n">
        <f aca="false">INDEX(商品マスタ!$D:$D,MATCH(H240,商品マスタ!$A:$A,0))</f>
        <v>1150</v>
      </c>
      <c r="R240" s="7" t="n">
        <f aca="false">P240-I240*Q240</f>
        <v>1450</v>
      </c>
    </row>
    <row r="241" customFormat="false" ht="15" hidden="false" customHeight="true" outlineLevel="0" collapsed="false">
      <c r="A241" s="14" t="s">
        <v>509</v>
      </c>
      <c r="B241" s="15" t="n">
        <v>46029</v>
      </c>
      <c r="C241" s="5" t="s">
        <v>59</v>
      </c>
      <c r="D241" s="5" t="s">
        <v>44</v>
      </c>
      <c r="E241" s="5" t="s">
        <v>510</v>
      </c>
      <c r="F241" s="5" t="s">
        <v>79</v>
      </c>
      <c r="G241" s="5" t="s">
        <v>67</v>
      </c>
      <c r="H241" s="5" t="s">
        <v>68</v>
      </c>
      <c r="I241" s="5" t="n">
        <v>3</v>
      </c>
      <c r="J241" s="5" t="n">
        <v>1200</v>
      </c>
      <c r="K241" s="5" t="n">
        <v>0.05</v>
      </c>
      <c r="L241" s="5" t="s">
        <v>56</v>
      </c>
      <c r="M241" s="5"/>
      <c r="N241" s="5" t="s">
        <v>57</v>
      </c>
      <c r="O241" s="5"/>
      <c r="P241" s="7" t="n">
        <f aca="false">I241*J241*(1-K241)</f>
        <v>3420</v>
      </c>
      <c r="Q241" s="7" t="n">
        <f aca="false">INDEX(商品マスタ!$D:$D,MATCH(H241,商品マスタ!$A:$A,0))</f>
        <v>520</v>
      </c>
      <c r="R241" s="7" t="n">
        <f aca="false">P241-I241*Q241</f>
        <v>1860</v>
      </c>
    </row>
    <row r="242" customFormat="false" ht="15" hidden="false" customHeight="true" outlineLevel="0" collapsed="false">
      <c r="A242" s="14" t="s">
        <v>511</v>
      </c>
      <c r="B242" s="15" t="n">
        <v>46045</v>
      </c>
      <c r="C242" s="5" t="s">
        <v>59</v>
      </c>
      <c r="D242" s="14" t="s">
        <v>70</v>
      </c>
      <c r="E242" s="5" t="s">
        <v>254</v>
      </c>
      <c r="F242" s="5" t="s">
        <v>79</v>
      </c>
      <c r="G242" s="5" t="s">
        <v>116</v>
      </c>
      <c r="H242" s="5" t="s">
        <v>120</v>
      </c>
      <c r="I242" s="5" t="n">
        <v>2</v>
      </c>
      <c r="J242" s="5" t="n">
        <v>3800</v>
      </c>
      <c r="K242" s="5" t="n">
        <v>0.05</v>
      </c>
      <c r="L242" s="5" t="s">
        <v>49</v>
      </c>
      <c r="M242" s="5"/>
      <c r="N242" s="5" t="s">
        <v>57</v>
      </c>
      <c r="O242" s="5"/>
      <c r="P242" s="7" t="n">
        <f aca="false">I242*J242*(1-K242)</f>
        <v>7220</v>
      </c>
      <c r="Q242" s="7" t="n">
        <f aca="false">INDEX(商品マスタ!$D:$D,MATCH(H242,商品マスタ!$A:$A,0))</f>
        <v>1900</v>
      </c>
      <c r="R242" s="7" t="n">
        <f aca="false">P242-I242*Q242</f>
        <v>3420</v>
      </c>
    </row>
    <row r="243" customFormat="false" ht="15" hidden="false" customHeight="true" outlineLevel="0" collapsed="false">
      <c r="A243" s="14" t="s">
        <v>512</v>
      </c>
      <c r="B243" s="15" t="n">
        <v>46027</v>
      </c>
      <c r="C243" s="5" t="s">
        <v>43</v>
      </c>
      <c r="D243" s="5" t="s">
        <v>44</v>
      </c>
      <c r="E243" s="5" t="s">
        <v>513</v>
      </c>
      <c r="F243" s="5" t="s">
        <v>79</v>
      </c>
      <c r="G243" s="5" t="s">
        <v>62</v>
      </c>
      <c r="H243" s="5" t="s">
        <v>85</v>
      </c>
      <c r="I243" s="5" t="n">
        <v>3</v>
      </c>
      <c r="J243" s="5" t="n">
        <v>3200</v>
      </c>
      <c r="K243" s="5" t="n">
        <v>0</v>
      </c>
      <c r="L243" s="14" t="s">
        <v>75</v>
      </c>
      <c r="M243" s="5"/>
      <c r="N243" s="5" t="s">
        <v>57</v>
      </c>
      <c r="O243" s="5"/>
      <c r="P243" s="7" t="n">
        <f aca="false">I243*J243*(1-K243)</f>
        <v>9600</v>
      </c>
      <c r="Q243" s="7" t="n">
        <f aca="false">INDEX(商品マスタ!$D:$D,MATCH(H243,商品マスタ!$A:$A,0))</f>
        <v>1600</v>
      </c>
      <c r="R243" s="7" t="n">
        <f aca="false">P243-I243*Q243</f>
        <v>4800</v>
      </c>
    </row>
    <row r="244" customFormat="false" ht="15" hidden="false" customHeight="true" outlineLevel="0" collapsed="false">
      <c r="A244" s="14" t="s">
        <v>514</v>
      </c>
      <c r="B244" s="15" t="n">
        <v>46050</v>
      </c>
      <c r="C244" s="5" t="s">
        <v>77</v>
      </c>
      <c r="D244" s="14" t="s">
        <v>70</v>
      </c>
      <c r="E244" s="5" t="s">
        <v>515</v>
      </c>
      <c r="F244" s="5" t="s">
        <v>61</v>
      </c>
      <c r="G244" s="5" t="s">
        <v>62</v>
      </c>
      <c r="H244" s="5" t="s">
        <v>93</v>
      </c>
      <c r="I244" s="5" t="n">
        <v>2</v>
      </c>
      <c r="J244" s="5" t="n">
        <v>9800</v>
      </c>
      <c r="K244" s="5" t="n">
        <v>0</v>
      </c>
      <c r="L244" s="5" t="s">
        <v>56</v>
      </c>
      <c r="M244" s="5"/>
      <c r="N244" s="5" t="s">
        <v>57</v>
      </c>
      <c r="O244" s="5"/>
      <c r="P244" s="7" t="n">
        <f aca="false">I244*J244*(1-K244)</f>
        <v>19600</v>
      </c>
      <c r="Q244" s="7" t="n">
        <f aca="false">INDEX(商品マスタ!$D:$D,MATCH(H244,商品マスタ!$A:$A,0))</f>
        <v>5400</v>
      </c>
      <c r="R244" s="7" t="n">
        <f aca="false">P244-I244*Q244</f>
        <v>8800</v>
      </c>
    </row>
    <row r="245" customFormat="false" ht="15" hidden="false" customHeight="true" outlineLevel="0" collapsed="false">
      <c r="A245" s="14" t="s">
        <v>516</v>
      </c>
      <c r="B245" s="15" t="n">
        <v>46048</v>
      </c>
      <c r="C245" s="5" t="s">
        <v>43</v>
      </c>
      <c r="D245" s="5" t="s">
        <v>44</v>
      </c>
      <c r="E245" s="5" t="s">
        <v>517</v>
      </c>
      <c r="F245" s="5" t="s">
        <v>61</v>
      </c>
      <c r="G245" s="5" t="s">
        <v>116</v>
      </c>
      <c r="H245" s="5" t="s">
        <v>174</v>
      </c>
      <c r="I245" s="5" t="n">
        <v>2</v>
      </c>
      <c r="J245" s="5" t="n">
        <v>5800</v>
      </c>
      <c r="K245" s="5" t="n">
        <v>0</v>
      </c>
      <c r="L245" s="5" t="s">
        <v>49</v>
      </c>
      <c r="M245" s="5"/>
      <c r="N245" s="5" t="s">
        <v>57</v>
      </c>
      <c r="O245" s="5"/>
      <c r="P245" s="7" t="n">
        <f aca="false">I245*J245*(1-K245)</f>
        <v>11600</v>
      </c>
      <c r="Q245" s="7" t="n">
        <f aca="false">INDEX(商品マスタ!$D:$D,MATCH(H245,商品マスタ!$A:$A,0))</f>
        <v>2900</v>
      </c>
      <c r="R245" s="7" t="n">
        <f aca="false">P245-I245*Q245</f>
        <v>5800</v>
      </c>
    </row>
    <row r="246" customFormat="false" ht="15" hidden="false" customHeight="true" outlineLevel="0" collapsed="false">
      <c r="A246" s="14" t="s">
        <v>518</v>
      </c>
      <c r="B246" s="15" t="n">
        <v>46050</v>
      </c>
      <c r="C246" s="5" t="s">
        <v>59</v>
      </c>
      <c r="D246" s="5" t="s">
        <v>44</v>
      </c>
      <c r="E246" s="5" t="s">
        <v>519</v>
      </c>
      <c r="F246" s="5" t="s">
        <v>61</v>
      </c>
      <c r="G246" s="5" t="s">
        <v>62</v>
      </c>
      <c r="H246" s="5" t="s">
        <v>85</v>
      </c>
      <c r="I246" s="5" t="n">
        <v>1</v>
      </c>
      <c r="J246" s="5" t="n">
        <v>3200</v>
      </c>
      <c r="K246" s="5" t="n">
        <v>0.05</v>
      </c>
      <c r="L246" s="5" t="s">
        <v>56</v>
      </c>
      <c r="M246" s="5" t="s">
        <v>198</v>
      </c>
      <c r="N246" s="5" t="s">
        <v>57</v>
      </c>
      <c r="O246" s="5"/>
      <c r="P246" s="7" t="n">
        <f aca="false">I246*J246*(1-K246)</f>
        <v>3040</v>
      </c>
      <c r="Q246" s="7" t="n">
        <f aca="false">INDEX(商品マスタ!$D:$D,MATCH(H246,商品マスタ!$A:$A,0))</f>
        <v>1600</v>
      </c>
      <c r="R246" s="7" t="n">
        <f aca="false">P246-I246*Q246</f>
        <v>1440</v>
      </c>
    </row>
    <row r="247" customFormat="false" ht="15" hidden="false" customHeight="true" outlineLevel="0" collapsed="false">
      <c r="A247" s="14" t="s">
        <v>520</v>
      </c>
      <c r="B247" s="15" t="n">
        <v>46034</v>
      </c>
      <c r="C247" s="5" t="s">
        <v>77</v>
      </c>
      <c r="D247" s="5" t="s">
        <v>44</v>
      </c>
      <c r="E247" s="5" t="s">
        <v>212</v>
      </c>
      <c r="F247" s="5" t="s">
        <v>61</v>
      </c>
      <c r="G247" s="5" t="s">
        <v>116</v>
      </c>
      <c r="H247" s="5" t="s">
        <v>120</v>
      </c>
      <c r="I247" s="5" t="n">
        <v>2</v>
      </c>
      <c r="J247" s="5" t="n">
        <v>3800</v>
      </c>
      <c r="K247" s="5" t="n">
        <v>0</v>
      </c>
      <c r="L247" s="5" t="s">
        <v>64</v>
      </c>
      <c r="M247" s="5"/>
      <c r="N247" s="5" t="s">
        <v>57</v>
      </c>
      <c r="O247" s="5"/>
      <c r="P247" s="7" t="n">
        <f aca="false">I247*J247*(1-K247)</f>
        <v>7600</v>
      </c>
      <c r="Q247" s="7" t="n">
        <f aca="false">INDEX(商品マスタ!$D:$D,MATCH(H247,商品マスタ!$A:$A,0))</f>
        <v>1900</v>
      </c>
      <c r="R247" s="7" t="n">
        <f aca="false">P247-I247*Q247</f>
        <v>3800</v>
      </c>
    </row>
    <row r="248" customFormat="false" ht="15" hidden="false" customHeight="true" outlineLevel="0" collapsed="false">
      <c r="A248" s="14" t="s">
        <v>521</v>
      </c>
      <c r="B248" s="15" t="n">
        <v>46053</v>
      </c>
      <c r="C248" s="5" t="s">
        <v>43</v>
      </c>
      <c r="D248" s="5" t="s">
        <v>44</v>
      </c>
      <c r="E248" s="5" t="s">
        <v>234</v>
      </c>
      <c r="F248" s="5" t="s">
        <v>46</v>
      </c>
      <c r="G248" s="5" t="s">
        <v>47</v>
      </c>
      <c r="H248" s="5" t="s">
        <v>48</v>
      </c>
      <c r="I248" s="5" t="n">
        <v>8</v>
      </c>
      <c r="J248" s="16" t="n">
        <v>980</v>
      </c>
      <c r="K248" s="5" t="n">
        <v>0</v>
      </c>
      <c r="L248" s="5" t="s">
        <v>81</v>
      </c>
      <c r="M248" s="5"/>
      <c r="N248" s="5" t="s">
        <v>57</v>
      </c>
      <c r="O248" s="5" t="s">
        <v>159</v>
      </c>
      <c r="P248" s="7" t="n">
        <f aca="false">I248*J248*(1-K248)</f>
        <v>7840</v>
      </c>
      <c r="Q248" s="7" t="n">
        <f aca="false">INDEX(商品マスタ!$D:$D,MATCH(H248,商品マスタ!$A:$A,0))</f>
        <v>420</v>
      </c>
      <c r="R248" s="7" t="n">
        <f aca="false">P248-I248*Q248</f>
        <v>4480</v>
      </c>
    </row>
    <row r="249" customFormat="false" ht="15" hidden="false" customHeight="true" outlineLevel="0" collapsed="false">
      <c r="A249" s="14" t="s">
        <v>522</v>
      </c>
      <c r="B249" s="15" t="n">
        <v>46048</v>
      </c>
      <c r="C249" s="5" t="s">
        <v>59</v>
      </c>
      <c r="D249" s="5" t="s">
        <v>44</v>
      </c>
      <c r="E249" s="5" t="s">
        <v>523</v>
      </c>
      <c r="F249" s="5" t="s">
        <v>61</v>
      </c>
      <c r="G249" s="5" t="s">
        <v>62</v>
      </c>
      <c r="H249" s="5" t="s">
        <v>93</v>
      </c>
      <c r="I249" s="5" t="n">
        <v>1</v>
      </c>
      <c r="J249" s="5" t="n">
        <v>9800</v>
      </c>
      <c r="K249" s="5" t="n">
        <v>0</v>
      </c>
      <c r="L249" s="14" t="s">
        <v>75</v>
      </c>
      <c r="M249" s="5"/>
      <c r="N249" s="5" t="s">
        <v>57</v>
      </c>
      <c r="O249" s="5"/>
      <c r="P249" s="7" t="n">
        <f aca="false">I249*J249*(1-K249)</f>
        <v>9800</v>
      </c>
      <c r="Q249" s="7" t="n">
        <f aca="false">INDEX(商品マスタ!$D:$D,MATCH(H249,商品マスタ!$A:$A,0))</f>
        <v>5400</v>
      </c>
      <c r="R249" s="7" t="n">
        <f aca="false">P249-I249*Q249</f>
        <v>4400</v>
      </c>
    </row>
    <row r="250" customFormat="false" ht="15" hidden="false" customHeight="true" outlineLevel="0" collapsed="false">
      <c r="A250" s="14" t="s">
        <v>524</v>
      </c>
      <c r="B250" s="15" t="n">
        <v>46033</v>
      </c>
      <c r="C250" s="5" t="s">
        <v>53</v>
      </c>
      <c r="D250" s="5" t="s">
        <v>44</v>
      </c>
      <c r="E250" s="5" t="s">
        <v>244</v>
      </c>
      <c r="F250" s="5" t="s">
        <v>61</v>
      </c>
      <c r="G250" s="5" t="s">
        <v>67</v>
      </c>
      <c r="H250" s="5" t="s">
        <v>68</v>
      </c>
      <c r="I250" s="5" t="n">
        <v>1</v>
      </c>
      <c r="J250" s="5" t="n">
        <v>1200</v>
      </c>
      <c r="K250" s="5" t="n">
        <v>0</v>
      </c>
      <c r="L250" s="5" t="s">
        <v>81</v>
      </c>
      <c r="M250" s="5"/>
      <c r="N250" s="5" t="s">
        <v>57</v>
      </c>
      <c r="O250" s="5"/>
      <c r="P250" s="7" t="n">
        <f aca="false">I250*J250*(1-K250)</f>
        <v>1200</v>
      </c>
      <c r="Q250" s="7" t="n">
        <f aca="false">INDEX(商品マスタ!$D:$D,MATCH(H250,商品マスタ!$A:$A,0))</f>
        <v>520</v>
      </c>
      <c r="R250" s="7" t="n">
        <f aca="false">P250-I250*Q250</f>
        <v>680</v>
      </c>
    </row>
    <row r="251" customFormat="false" ht="15" hidden="false" customHeight="true" outlineLevel="0" collapsed="false">
      <c r="A251" s="14" t="s">
        <v>525</v>
      </c>
      <c r="B251" s="15" t="n">
        <v>46043</v>
      </c>
      <c r="C251" s="5" t="s">
        <v>43</v>
      </c>
      <c r="D251" s="5" t="s">
        <v>44</v>
      </c>
      <c r="E251" s="5" t="s">
        <v>515</v>
      </c>
      <c r="F251" s="5" t="s">
        <v>61</v>
      </c>
      <c r="G251" s="5" t="s">
        <v>62</v>
      </c>
      <c r="H251" s="5" t="s">
        <v>80</v>
      </c>
      <c r="I251" s="5" t="n">
        <v>1</v>
      </c>
      <c r="J251" s="5" t="n">
        <v>2800</v>
      </c>
      <c r="K251" s="5" t="n">
        <v>0</v>
      </c>
      <c r="L251" s="14" t="s">
        <v>125</v>
      </c>
      <c r="M251" s="5"/>
      <c r="N251" s="5" t="s">
        <v>57</v>
      </c>
      <c r="O251" s="5"/>
      <c r="P251" s="7" t="n">
        <f aca="false">I251*J251*(1-K251)</f>
        <v>2800</v>
      </c>
      <c r="Q251" s="7" t="n">
        <f aca="false">INDEX(商品マスタ!$D:$D,MATCH(H251,商品マスタ!$A:$A,0))</f>
        <v>1400</v>
      </c>
      <c r="R251" s="7" t="n">
        <f aca="false">P251-I251*Q251</f>
        <v>1400</v>
      </c>
    </row>
    <row r="252" customFormat="false" ht="15" hidden="false" customHeight="true" outlineLevel="0" collapsed="false">
      <c r="A252" s="14" t="s">
        <v>526</v>
      </c>
      <c r="B252" s="15" t="n">
        <v>46030</v>
      </c>
      <c r="C252" s="5" t="s">
        <v>53</v>
      </c>
      <c r="D252" s="5" t="s">
        <v>44</v>
      </c>
      <c r="E252" s="5" t="s">
        <v>527</v>
      </c>
      <c r="F252" s="5" t="s">
        <v>61</v>
      </c>
      <c r="G252" s="5" t="s">
        <v>62</v>
      </c>
      <c r="H252" s="5" t="s">
        <v>80</v>
      </c>
      <c r="I252" s="5" t="n">
        <v>2</v>
      </c>
      <c r="J252" s="5" t="n">
        <v>2800</v>
      </c>
      <c r="K252" s="5" t="n">
        <v>0.05</v>
      </c>
      <c r="L252" s="5" t="s">
        <v>56</v>
      </c>
      <c r="M252" s="5"/>
      <c r="N252" s="5" t="s">
        <v>57</v>
      </c>
      <c r="O252" s="5"/>
      <c r="P252" s="7" t="n">
        <f aca="false">I252*J252*(1-K252)</f>
        <v>5320</v>
      </c>
      <c r="Q252" s="7" t="n">
        <f aca="false">INDEX(商品マスタ!$D:$D,MATCH(H252,商品マスタ!$A:$A,0))</f>
        <v>1400</v>
      </c>
      <c r="R252" s="7" t="n">
        <f aca="false">P252-I252*Q252</f>
        <v>2520</v>
      </c>
    </row>
    <row r="253" customFormat="false" ht="15" hidden="false" customHeight="true" outlineLevel="0" collapsed="false">
      <c r="A253" s="14" t="s">
        <v>528</v>
      </c>
      <c r="B253" s="15" t="n">
        <v>46041</v>
      </c>
      <c r="C253" s="5" t="s">
        <v>53</v>
      </c>
      <c r="D253" s="5" t="s">
        <v>44</v>
      </c>
      <c r="E253" s="5" t="s">
        <v>529</v>
      </c>
      <c r="F253" s="5" t="s">
        <v>61</v>
      </c>
      <c r="G253" s="5" t="s">
        <v>47</v>
      </c>
      <c r="H253" s="5" t="s">
        <v>48</v>
      </c>
      <c r="I253" s="5" t="n">
        <v>4</v>
      </c>
      <c r="J253" s="5" t="n">
        <v>980</v>
      </c>
      <c r="K253" s="5" t="n">
        <v>0.05</v>
      </c>
      <c r="L253" s="5" t="s">
        <v>49</v>
      </c>
      <c r="M253" s="5"/>
      <c r="N253" s="5" t="s">
        <v>57</v>
      </c>
      <c r="O253" s="5"/>
      <c r="P253" s="7" t="n">
        <f aca="false">I253*J253*(1-K253)</f>
        <v>3724</v>
      </c>
      <c r="Q253" s="7" t="n">
        <f aca="false">INDEX(商品マスタ!$D:$D,MATCH(H253,商品マスタ!$A:$A,0))</f>
        <v>420</v>
      </c>
      <c r="R253" s="7" t="n">
        <f aca="false">P253-I253*Q253</f>
        <v>2044</v>
      </c>
    </row>
    <row r="254" customFormat="false" ht="15" hidden="false" customHeight="true" outlineLevel="0" collapsed="false">
      <c r="A254" s="14" t="s">
        <v>530</v>
      </c>
      <c r="B254" s="15" t="n">
        <v>46037</v>
      </c>
      <c r="C254" s="5" t="s">
        <v>53</v>
      </c>
      <c r="D254" s="5" t="s">
        <v>44</v>
      </c>
      <c r="E254" s="5" t="s">
        <v>531</v>
      </c>
      <c r="F254" s="5" t="s">
        <v>79</v>
      </c>
      <c r="G254" s="5" t="s">
        <v>47</v>
      </c>
      <c r="H254" s="5" t="s">
        <v>55</v>
      </c>
      <c r="I254" s="5" t="n">
        <v>2</v>
      </c>
      <c r="J254" s="5" t="n">
        <v>1500</v>
      </c>
      <c r="K254" s="5" t="n">
        <v>0.05</v>
      </c>
      <c r="L254" s="5" t="s">
        <v>64</v>
      </c>
      <c r="M254" s="5"/>
      <c r="N254" s="5" t="s">
        <v>57</v>
      </c>
      <c r="O254" s="5"/>
      <c r="P254" s="7" t="n">
        <f aca="false">I254*J254*(1-K254)</f>
        <v>2850</v>
      </c>
      <c r="Q254" s="7" t="n">
        <f aca="false">INDEX(商品マスタ!$D:$D,MATCH(H254,商品マスタ!$A:$A,0))</f>
        <v>680</v>
      </c>
      <c r="R254" s="7" t="n">
        <f aca="false">P254-I254*Q254</f>
        <v>1490</v>
      </c>
    </row>
    <row r="255" customFormat="false" ht="15" hidden="false" customHeight="true" outlineLevel="0" collapsed="false">
      <c r="A255" s="14" t="s">
        <v>532</v>
      </c>
      <c r="B255" s="15" t="n">
        <v>46042</v>
      </c>
      <c r="C255" s="5" t="s">
        <v>53</v>
      </c>
      <c r="D255" s="5" t="s">
        <v>44</v>
      </c>
      <c r="E255" s="5" t="s">
        <v>45</v>
      </c>
      <c r="F255" s="5" t="s">
        <v>46</v>
      </c>
      <c r="G255" s="5" t="s">
        <v>47</v>
      </c>
      <c r="H255" s="5" t="s">
        <v>55</v>
      </c>
      <c r="I255" s="5" t="n">
        <v>10</v>
      </c>
      <c r="J255" s="5" t="n">
        <v>1500</v>
      </c>
      <c r="K255" s="5" t="n">
        <v>0</v>
      </c>
      <c r="L255" s="14" t="s">
        <v>75</v>
      </c>
      <c r="M255" s="5"/>
      <c r="N255" s="5" t="s">
        <v>57</v>
      </c>
      <c r="O255" s="5"/>
      <c r="P255" s="7" t="n">
        <f aca="false">I255*J255*(1-K255)</f>
        <v>15000</v>
      </c>
      <c r="Q255" s="7" t="n">
        <f aca="false">INDEX(商品マスタ!$D:$D,MATCH(H255,商品マスタ!$A:$A,0))</f>
        <v>680</v>
      </c>
      <c r="R255" s="7" t="n">
        <f aca="false">P255-I255*Q255</f>
        <v>8200</v>
      </c>
    </row>
    <row r="256" customFormat="false" ht="15" hidden="false" customHeight="true" outlineLevel="0" collapsed="false">
      <c r="A256" s="14" t="s">
        <v>533</v>
      </c>
      <c r="B256" s="15" t="n">
        <v>46035</v>
      </c>
      <c r="C256" s="5" t="s">
        <v>43</v>
      </c>
      <c r="D256" s="5" t="s">
        <v>44</v>
      </c>
      <c r="E256" s="5" t="s">
        <v>45</v>
      </c>
      <c r="F256" s="5" t="s">
        <v>46</v>
      </c>
      <c r="G256" s="5" t="s">
        <v>62</v>
      </c>
      <c r="H256" s="5" t="s">
        <v>80</v>
      </c>
      <c r="I256" s="5" t="n">
        <v>20</v>
      </c>
      <c r="J256" s="5" t="n">
        <v>2800</v>
      </c>
      <c r="K256" s="5" t="n">
        <v>0.05</v>
      </c>
      <c r="L256" s="5" t="s">
        <v>81</v>
      </c>
      <c r="M256" s="5"/>
      <c r="N256" s="5" t="s">
        <v>57</v>
      </c>
      <c r="O256" s="5"/>
      <c r="P256" s="7" t="n">
        <f aca="false">I256*J256*(1-K256)</f>
        <v>53200</v>
      </c>
      <c r="Q256" s="7" t="n">
        <f aca="false">INDEX(商品マスタ!$D:$D,MATCH(H256,商品マスタ!$A:$A,0))</f>
        <v>1400</v>
      </c>
      <c r="R256" s="7" t="n">
        <f aca="false">P256-I256*Q256</f>
        <v>25200</v>
      </c>
    </row>
    <row r="257" customFormat="false" ht="15" hidden="false" customHeight="true" outlineLevel="0" collapsed="false">
      <c r="A257" s="14" t="s">
        <v>534</v>
      </c>
      <c r="B257" s="15" t="n">
        <v>46036</v>
      </c>
      <c r="C257" s="5" t="s">
        <v>43</v>
      </c>
      <c r="D257" s="5" t="s">
        <v>44</v>
      </c>
      <c r="E257" s="5" t="s">
        <v>535</v>
      </c>
      <c r="F257" s="5" t="s">
        <v>61</v>
      </c>
      <c r="G257" s="5" t="s">
        <v>62</v>
      </c>
      <c r="H257" s="5" t="s">
        <v>63</v>
      </c>
      <c r="I257" s="5" t="n">
        <v>1</v>
      </c>
      <c r="J257" s="5" t="n">
        <v>480</v>
      </c>
      <c r="K257" s="5" t="n">
        <v>0</v>
      </c>
      <c r="L257" s="5" t="s">
        <v>49</v>
      </c>
      <c r="M257" s="5"/>
      <c r="N257" s="5" t="s">
        <v>57</v>
      </c>
      <c r="O257" s="5"/>
      <c r="P257" s="7" t="n">
        <f aca="false">I257*J257*(1-K257)</f>
        <v>480</v>
      </c>
      <c r="Q257" s="7" t="n">
        <f aca="false">INDEX(商品マスタ!$D:$D,MATCH(H257,商品マスタ!$A:$A,0))</f>
        <v>180</v>
      </c>
      <c r="R257" s="7" t="n">
        <f aca="false">P257-I257*Q257</f>
        <v>300</v>
      </c>
    </row>
    <row r="258" customFormat="false" ht="15" hidden="false" customHeight="true" outlineLevel="0" collapsed="false">
      <c r="A258" s="14" t="s">
        <v>536</v>
      </c>
      <c r="B258" s="15" t="n">
        <v>46049</v>
      </c>
      <c r="C258" s="5" t="s">
        <v>83</v>
      </c>
      <c r="D258" s="5" t="s">
        <v>44</v>
      </c>
      <c r="E258" s="5" t="s">
        <v>537</v>
      </c>
      <c r="F258" s="5" t="s">
        <v>61</v>
      </c>
      <c r="G258" s="5" t="s">
        <v>116</v>
      </c>
      <c r="H258" s="5" t="s">
        <v>174</v>
      </c>
      <c r="I258" s="5" t="n">
        <v>3</v>
      </c>
      <c r="J258" s="5" t="n">
        <v>5800</v>
      </c>
      <c r="K258" s="5" t="n">
        <v>0.1</v>
      </c>
      <c r="L258" s="5" t="s">
        <v>56</v>
      </c>
      <c r="M258" s="5"/>
      <c r="N258" s="5" t="s">
        <v>57</v>
      </c>
      <c r="O258" s="5"/>
      <c r="P258" s="7" t="n">
        <f aca="false">I258*J258*(1-K258)</f>
        <v>15660</v>
      </c>
      <c r="Q258" s="7" t="n">
        <f aca="false">INDEX(商品マスタ!$D:$D,MATCH(H258,商品マスタ!$A:$A,0))</f>
        <v>2900</v>
      </c>
      <c r="R258" s="7" t="n">
        <f aca="false">P258-I258*Q258</f>
        <v>6960</v>
      </c>
    </row>
    <row r="259" customFormat="false" ht="15" hidden="false" customHeight="true" outlineLevel="0" collapsed="false">
      <c r="A259" s="14" t="s">
        <v>538</v>
      </c>
      <c r="B259" s="15" t="n">
        <v>46051</v>
      </c>
      <c r="C259" s="5" t="s">
        <v>83</v>
      </c>
      <c r="D259" s="5" t="s">
        <v>44</v>
      </c>
      <c r="E259" s="5" t="s">
        <v>539</v>
      </c>
      <c r="F259" s="5"/>
      <c r="G259" s="5" t="s">
        <v>67</v>
      </c>
      <c r="H259" s="5" t="s">
        <v>88</v>
      </c>
      <c r="I259" s="5" t="n">
        <v>2</v>
      </c>
      <c r="J259" s="5" t="n">
        <v>2600</v>
      </c>
      <c r="K259" s="5" t="n">
        <v>0.1</v>
      </c>
      <c r="L259" s="5" t="s">
        <v>49</v>
      </c>
      <c r="M259" s="5"/>
      <c r="N259" s="5" t="s">
        <v>57</v>
      </c>
      <c r="O259" s="5"/>
      <c r="P259" s="7" t="n">
        <f aca="false">I259*J259*(1-K259)</f>
        <v>4680</v>
      </c>
      <c r="Q259" s="7" t="n">
        <f aca="false">INDEX(商品マスタ!$D:$D,MATCH(H259,商品マスタ!$A:$A,0))</f>
        <v>1150</v>
      </c>
      <c r="R259" s="7" t="n">
        <f aca="false">P259-I259*Q259</f>
        <v>2380</v>
      </c>
    </row>
    <row r="260" customFormat="false" ht="15" hidden="false" customHeight="true" outlineLevel="0" collapsed="false">
      <c r="A260" s="14" t="s">
        <v>540</v>
      </c>
      <c r="B260" s="15" t="n">
        <v>46052</v>
      </c>
      <c r="C260" s="5" t="s">
        <v>77</v>
      </c>
      <c r="D260" s="14" t="s">
        <v>70</v>
      </c>
      <c r="E260" s="5" t="s">
        <v>168</v>
      </c>
      <c r="F260" s="5"/>
      <c r="G260" s="5" t="s">
        <v>62</v>
      </c>
      <c r="H260" s="5" t="s">
        <v>85</v>
      </c>
      <c r="I260" s="5" t="n">
        <v>2</v>
      </c>
      <c r="J260" s="5" t="n">
        <v>3200</v>
      </c>
      <c r="K260" s="5" t="n">
        <v>0.05</v>
      </c>
      <c r="L260" s="5" t="s">
        <v>49</v>
      </c>
      <c r="M260" s="5"/>
      <c r="N260" s="5" t="s">
        <v>57</v>
      </c>
      <c r="O260" s="5"/>
      <c r="P260" s="7" t="n">
        <f aca="false">I260*J260*(1-K260)</f>
        <v>6080</v>
      </c>
      <c r="Q260" s="7" t="n">
        <f aca="false">INDEX(商品マスタ!$D:$D,MATCH(H260,商品マスタ!$A:$A,0))</f>
        <v>1600</v>
      </c>
      <c r="R260" s="7" t="n">
        <f aca="false">P260-I260*Q260</f>
        <v>2880</v>
      </c>
    </row>
    <row r="261" customFormat="false" ht="15" hidden="false" customHeight="true" outlineLevel="0" collapsed="false">
      <c r="A261" s="14" t="s">
        <v>541</v>
      </c>
      <c r="B261" s="15" t="n">
        <v>46045</v>
      </c>
      <c r="C261" s="5" t="s">
        <v>53</v>
      </c>
      <c r="D261" s="14" t="s">
        <v>70</v>
      </c>
      <c r="E261" s="5" t="s">
        <v>542</v>
      </c>
      <c r="F261" s="5" t="s">
        <v>79</v>
      </c>
      <c r="G261" s="5" t="s">
        <v>47</v>
      </c>
      <c r="H261" s="5" t="s">
        <v>48</v>
      </c>
      <c r="I261" s="5" t="n">
        <v>4</v>
      </c>
      <c r="J261" s="5" t="n">
        <v>980</v>
      </c>
      <c r="K261" s="5" t="n">
        <v>0.1</v>
      </c>
      <c r="L261" s="5" t="s">
        <v>49</v>
      </c>
      <c r="M261" s="5" t="s">
        <v>50</v>
      </c>
      <c r="N261" s="5" t="s">
        <v>51</v>
      </c>
      <c r="O261" s="5"/>
      <c r="P261" s="7" t="n">
        <f aca="false">I261*J261*(1-K261)</f>
        <v>3528</v>
      </c>
      <c r="Q261" s="7" t="n">
        <f aca="false">INDEX(商品マスタ!$D:$D,MATCH(H261,商品マスタ!$A:$A,0))</f>
        <v>420</v>
      </c>
      <c r="R261" s="7" t="n">
        <f aca="false">P261-I261*Q261</f>
        <v>1848</v>
      </c>
    </row>
    <row r="262" customFormat="false" ht="15" hidden="false" customHeight="true" outlineLevel="0" collapsed="false">
      <c r="A262" s="14" t="s">
        <v>543</v>
      </c>
      <c r="B262" s="15" t="n">
        <v>46037</v>
      </c>
      <c r="C262" s="5" t="s">
        <v>59</v>
      </c>
      <c r="D262" s="14" t="s">
        <v>70</v>
      </c>
      <c r="E262" s="5" t="s">
        <v>544</v>
      </c>
      <c r="F262" s="5"/>
      <c r="G262" s="5" t="s">
        <v>67</v>
      </c>
      <c r="H262" s="5" t="s">
        <v>106</v>
      </c>
      <c r="I262" s="5" t="n">
        <v>3</v>
      </c>
      <c r="J262" s="5" t="n">
        <v>1400</v>
      </c>
      <c r="K262" s="5" t="n">
        <v>0</v>
      </c>
      <c r="L262" s="5" t="s">
        <v>56</v>
      </c>
      <c r="M262" s="5"/>
      <c r="N262" s="5" t="s">
        <v>57</v>
      </c>
      <c r="O262" s="5"/>
      <c r="P262" s="7" t="n">
        <f aca="false">I262*J262*(1-K262)</f>
        <v>4200</v>
      </c>
      <c r="Q262" s="7" t="n">
        <f aca="false">INDEX(商品マスタ!$D:$D,MATCH(H262,商品マスタ!$A:$A,0))</f>
        <v>610</v>
      </c>
      <c r="R262" s="7" t="n">
        <f aca="false">P262-I262*Q262</f>
        <v>2370</v>
      </c>
    </row>
    <row r="263" customFormat="false" ht="15" hidden="false" customHeight="true" outlineLevel="0" collapsed="false">
      <c r="A263" s="14" t="s">
        <v>545</v>
      </c>
      <c r="B263" s="15" t="n">
        <v>46042</v>
      </c>
      <c r="C263" s="5" t="s">
        <v>43</v>
      </c>
      <c r="D263" s="14" t="s">
        <v>70</v>
      </c>
      <c r="E263" s="5" t="s">
        <v>546</v>
      </c>
      <c r="F263" s="5" t="s">
        <v>79</v>
      </c>
      <c r="G263" s="5" t="s">
        <v>62</v>
      </c>
      <c r="H263" s="5" t="s">
        <v>85</v>
      </c>
      <c r="I263" s="5" t="n">
        <v>1</v>
      </c>
      <c r="J263" s="5" t="n">
        <v>3200</v>
      </c>
      <c r="K263" s="5" t="n">
        <v>0.05</v>
      </c>
      <c r="L263" s="5" t="s">
        <v>56</v>
      </c>
      <c r="M263" s="5"/>
      <c r="N263" s="5" t="s">
        <v>57</v>
      </c>
      <c r="O263" s="5"/>
      <c r="P263" s="7" t="n">
        <f aca="false">I263*J263*(1-K263)</f>
        <v>3040</v>
      </c>
      <c r="Q263" s="7" t="n">
        <f aca="false">INDEX(商品マスタ!$D:$D,MATCH(H263,商品マスタ!$A:$A,0))</f>
        <v>1600</v>
      </c>
      <c r="R263" s="7" t="n">
        <f aca="false">P263-I263*Q263</f>
        <v>1440</v>
      </c>
    </row>
    <row r="264" customFormat="false" ht="15" hidden="false" customHeight="true" outlineLevel="0" collapsed="false">
      <c r="A264" s="14" t="s">
        <v>547</v>
      </c>
      <c r="B264" s="15" t="n">
        <v>46029</v>
      </c>
      <c r="C264" s="5" t="s">
        <v>43</v>
      </c>
      <c r="D264" s="5" t="s">
        <v>44</v>
      </c>
      <c r="E264" s="5" t="s">
        <v>497</v>
      </c>
      <c r="F264" s="5" t="s">
        <v>61</v>
      </c>
      <c r="G264" s="5" t="s">
        <v>47</v>
      </c>
      <c r="H264" s="5" t="s">
        <v>48</v>
      </c>
      <c r="I264" s="5" t="n">
        <v>1</v>
      </c>
      <c r="J264" s="5" t="n">
        <v>980</v>
      </c>
      <c r="K264" s="5" t="n">
        <v>0</v>
      </c>
      <c r="L264" s="5" t="s">
        <v>81</v>
      </c>
      <c r="M264" s="5"/>
      <c r="N264" s="5" t="s">
        <v>57</v>
      </c>
      <c r="O264" s="5"/>
      <c r="P264" s="7" t="n">
        <f aca="false">I264*J264*(1-K264)</f>
        <v>980</v>
      </c>
      <c r="Q264" s="7" t="n">
        <f aca="false">INDEX(商品マスタ!$D:$D,MATCH(H264,商品マスタ!$A:$A,0))</f>
        <v>420</v>
      </c>
      <c r="R264" s="7" t="n">
        <f aca="false">P264-I264*Q264</f>
        <v>560</v>
      </c>
    </row>
    <row r="265" customFormat="false" ht="15" hidden="false" customHeight="true" outlineLevel="0" collapsed="false">
      <c r="A265" s="14" t="s">
        <v>548</v>
      </c>
      <c r="B265" s="15" t="n">
        <v>46039</v>
      </c>
      <c r="C265" s="5" t="s">
        <v>43</v>
      </c>
      <c r="D265" s="14" t="s">
        <v>70</v>
      </c>
      <c r="E265" s="5" t="s">
        <v>549</v>
      </c>
      <c r="F265" s="5" t="s">
        <v>79</v>
      </c>
      <c r="G265" s="5" t="s">
        <v>62</v>
      </c>
      <c r="H265" s="5" t="s">
        <v>80</v>
      </c>
      <c r="I265" s="5" t="n">
        <v>1</v>
      </c>
      <c r="J265" s="5" t="n">
        <v>2800</v>
      </c>
      <c r="K265" s="5" t="n">
        <v>0</v>
      </c>
      <c r="L265" s="5" t="s">
        <v>49</v>
      </c>
      <c r="M265" s="5"/>
      <c r="N265" s="5" t="s">
        <v>57</v>
      </c>
      <c r="O265" s="5"/>
      <c r="P265" s="7" t="n">
        <f aca="false">I265*J265*(1-K265)</f>
        <v>2800</v>
      </c>
      <c r="Q265" s="7" t="n">
        <f aca="false">INDEX(商品マスタ!$D:$D,MATCH(H265,商品マスタ!$A:$A,0))</f>
        <v>1400</v>
      </c>
      <c r="R265" s="7" t="n">
        <f aca="false">P265-I265*Q265</f>
        <v>1400</v>
      </c>
    </row>
    <row r="266" customFormat="false" ht="15" hidden="false" customHeight="true" outlineLevel="0" collapsed="false">
      <c r="A266" s="14" t="s">
        <v>550</v>
      </c>
      <c r="B266" s="15" t="n">
        <v>46024</v>
      </c>
      <c r="C266" s="5" t="s">
        <v>77</v>
      </c>
      <c r="D266" s="5" t="s">
        <v>44</v>
      </c>
      <c r="E266" s="5" t="s">
        <v>234</v>
      </c>
      <c r="F266" s="5" t="s">
        <v>46</v>
      </c>
      <c r="G266" s="5" t="s">
        <v>47</v>
      </c>
      <c r="H266" s="5" t="s">
        <v>48</v>
      </c>
      <c r="I266" s="5" t="n">
        <v>20</v>
      </c>
      <c r="J266" s="5" t="n">
        <v>980</v>
      </c>
      <c r="K266" s="5" t="n">
        <v>0</v>
      </c>
      <c r="L266" s="5" t="s">
        <v>49</v>
      </c>
      <c r="M266" s="5"/>
      <c r="N266" s="5" t="s">
        <v>57</v>
      </c>
      <c r="O266" s="5"/>
      <c r="P266" s="7" t="n">
        <f aca="false">I266*J266*(1-K266)</f>
        <v>19600</v>
      </c>
      <c r="Q266" s="7" t="n">
        <f aca="false">INDEX(商品マスタ!$D:$D,MATCH(H266,商品マスタ!$A:$A,0))</f>
        <v>420</v>
      </c>
      <c r="R266" s="7" t="n">
        <f aca="false">P266-I266*Q266</f>
        <v>11200</v>
      </c>
    </row>
    <row r="267" customFormat="false" ht="15" hidden="false" customHeight="true" outlineLevel="0" collapsed="false">
      <c r="A267" s="14" t="s">
        <v>551</v>
      </c>
      <c r="B267" s="15" t="n">
        <v>46032</v>
      </c>
      <c r="C267" s="5" t="s">
        <v>83</v>
      </c>
      <c r="D267" s="14" t="s">
        <v>70</v>
      </c>
      <c r="E267" s="5" t="s">
        <v>45</v>
      </c>
      <c r="F267" s="5" t="s">
        <v>46</v>
      </c>
      <c r="G267" s="5" t="s">
        <v>47</v>
      </c>
      <c r="H267" s="5" t="s">
        <v>55</v>
      </c>
      <c r="I267" s="5" t="n">
        <v>20</v>
      </c>
      <c r="J267" s="5" t="n">
        <v>1500</v>
      </c>
      <c r="K267" s="5" t="n">
        <v>0</v>
      </c>
      <c r="L267" s="5" t="s">
        <v>64</v>
      </c>
      <c r="M267" s="5" t="s">
        <v>183</v>
      </c>
      <c r="N267" s="5" t="s">
        <v>51</v>
      </c>
      <c r="O267" s="5"/>
      <c r="P267" s="7" t="n">
        <f aca="false">I267*J267*(1-K267)</f>
        <v>30000</v>
      </c>
      <c r="Q267" s="7" t="n">
        <f aca="false">INDEX(商品マスタ!$D:$D,MATCH(H267,商品マスタ!$A:$A,0))</f>
        <v>680</v>
      </c>
      <c r="R267" s="7" t="n">
        <f aca="false">P267-I267*Q267</f>
        <v>16400</v>
      </c>
    </row>
    <row r="268" customFormat="false" ht="15" hidden="false" customHeight="true" outlineLevel="0" collapsed="false">
      <c r="A268" s="14" t="s">
        <v>552</v>
      </c>
      <c r="B268" s="15" t="n">
        <v>46031</v>
      </c>
      <c r="C268" s="5" t="s">
        <v>43</v>
      </c>
      <c r="D268" s="5" t="s">
        <v>44</v>
      </c>
      <c r="E268" s="5" t="s">
        <v>393</v>
      </c>
      <c r="F268" s="5" t="s">
        <v>61</v>
      </c>
      <c r="G268" s="5" t="s">
        <v>116</v>
      </c>
      <c r="H268" s="5" t="s">
        <v>174</v>
      </c>
      <c r="I268" s="5" t="n">
        <v>4</v>
      </c>
      <c r="J268" s="5" t="n">
        <v>5800</v>
      </c>
      <c r="K268" s="5" t="n">
        <v>0.1</v>
      </c>
      <c r="L268" s="5" t="s">
        <v>81</v>
      </c>
      <c r="M268" s="5"/>
      <c r="N268" s="5" t="s">
        <v>57</v>
      </c>
      <c r="O268" s="5"/>
      <c r="P268" s="7" t="n">
        <f aca="false">I268*J268*(1-K268)</f>
        <v>20880</v>
      </c>
      <c r="Q268" s="7" t="n">
        <f aca="false">INDEX(商品マスタ!$D:$D,MATCH(H268,商品マスタ!$A:$A,0))</f>
        <v>2900</v>
      </c>
      <c r="R268" s="7" t="n">
        <f aca="false">P268-I268*Q268</f>
        <v>9280</v>
      </c>
    </row>
    <row r="269" customFormat="false" ht="15" hidden="false" customHeight="true" outlineLevel="0" collapsed="false">
      <c r="A269" s="14" t="s">
        <v>553</v>
      </c>
      <c r="B269" s="15" t="n">
        <v>46040</v>
      </c>
      <c r="C269" s="5" t="s">
        <v>77</v>
      </c>
      <c r="D269" s="5" t="s">
        <v>44</v>
      </c>
      <c r="E269" s="5" t="s">
        <v>374</v>
      </c>
      <c r="F269" s="5"/>
      <c r="G269" s="5" t="s">
        <v>67</v>
      </c>
      <c r="H269" s="5" t="s">
        <v>179</v>
      </c>
      <c r="I269" s="5" t="n">
        <v>2</v>
      </c>
      <c r="J269" s="5" t="n">
        <v>1600</v>
      </c>
      <c r="K269" s="5" t="n">
        <v>0</v>
      </c>
      <c r="L269" s="5" t="s">
        <v>56</v>
      </c>
      <c r="M269" s="5"/>
      <c r="N269" s="5" t="s">
        <v>57</v>
      </c>
      <c r="O269" s="5"/>
      <c r="P269" s="7" t="n">
        <f aca="false">I269*J269*(1-K269)</f>
        <v>3200</v>
      </c>
      <c r="Q269" s="7" t="n">
        <f aca="false">INDEX(商品マスタ!$D:$D,MATCH(H269,商品マスタ!$A:$A,0))</f>
        <v>700</v>
      </c>
      <c r="R269" s="7" t="n">
        <f aca="false">P269-I269*Q269</f>
        <v>1800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2"/>
    <col collapsed="false" customWidth="true" hidden="false" outlineLevel="0" max="2" min="2" style="1" width="12"/>
    <col collapsed="false" customWidth="true" hidden="false" outlineLevel="0" max="4" min="3" style="1" width="10"/>
  </cols>
  <sheetData>
    <row r="1" customFormat="false" ht="15" hidden="false" customHeight="true" outlineLevel="0" collapsed="false">
      <c r="A1" s="17" t="s">
        <v>31</v>
      </c>
      <c r="B1" s="17" t="s">
        <v>30</v>
      </c>
      <c r="C1" s="17" t="s">
        <v>554</v>
      </c>
      <c r="D1" s="17" t="s">
        <v>555</v>
      </c>
    </row>
    <row r="2" customFormat="false" ht="15" hidden="false" customHeight="true" outlineLevel="0" collapsed="false">
      <c r="A2" s="5" t="s">
        <v>68</v>
      </c>
      <c r="B2" s="5" t="s">
        <v>67</v>
      </c>
      <c r="C2" s="5" t="n">
        <v>1200</v>
      </c>
      <c r="D2" s="5" t="n">
        <v>520</v>
      </c>
    </row>
    <row r="3" customFormat="false" ht="15" hidden="false" customHeight="true" outlineLevel="0" collapsed="false">
      <c r="A3" s="5" t="s">
        <v>106</v>
      </c>
      <c r="B3" s="5" t="s">
        <v>67</v>
      </c>
      <c r="C3" s="5" t="n">
        <v>1400</v>
      </c>
      <c r="D3" s="5" t="n">
        <v>610</v>
      </c>
    </row>
    <row r="4" customFormat="false" ht="15" hidden="false" customHeight="true" outlineLevel="0" collapsed="false">
      <c r="A4" s="5" t="s">
        <v>88</v>
      </c>
      <c r="B4" s="5" t="s">
        <v>67</v>
      </c>
      <c r="C4" s="5" t="n">
        <v>2600</v>
      </c>
      <c r="D4" s="5" t="n">
        <v>1150</v>
      </c>
    </row>
    <row r="5" customFormat="false" ht="15" hidden="false" customHeight="true" outlineLevel="0" collapsed="false">
      <c r="A5" s="5" t="s">
        <v>179</v>
      </c>
      <c r="B5" s="5" t="s">
        <v>67</v>
      </c>
      <c r="C5" s="5" t="n">
        <v>1600</v>
      </c>
      <c r="D5" s="5" t="n">
        <v>700</v>
      </c>
    </row>
    <row r="6" customFormat="false" ht="15" hidden="false" customHeight="true" outlineLevel="0" collapsed="false">
      <c r="A6" s="5" t="s">
        <v>80</v>
      </c>
      <c r="B6" s="5" t="s">
        <v>62</v>
      </c>
      <c r="C6" s="5" t="n">
        <v>2800</v>
      </c>
      <c r="D6" s="5" t="n">
        <v>1400</v>
      </c>
    </row>
    <row r="7" customFormat="false" ht="15" hidden="false" customHeight="true" outlineLevel="0" collapsed="false">
      <c r="A7" s="5" t="s">
        <v>63</v>
      </c>
      <c r="B7" s="5" t="s">
        <v>62</v>
      </c>
      <c r="C7" s="5" t="n">
        <v>480</v>
      </c>
      <c r="D7" s="5" t="n">
        <v>180</v>
      </c>
    </row>
    <row r="8" customFormat="false" ht="15" hidden="false" customHeight="true" outlineLevel="0" collapsed="false">
      <c r="A8" s="5" t="s">
        <v>93</v>
      </c>
      <c r="B8" s="5" t="s">
        <v>62</v>
      </c>
      <c r="C8" s="5" t="n">
        <v>9800</v>
      </c>
      <c r="D8" s="5" t="n">
        <v>5400</v>
      </c>
    </row>
    <row r="9" customFormat="false" ht="15" hidden="false" customHeight="true" outlineLevel="0" collapsed="false">
      <c r="A9" s="5" t="s">
        <v>85</v>
      </c>
      <c r="B9" s="5" t="s">
        <v>62</v>
      </c>
      <c r="C9" s="5" t="n">
        <v>3200</v>
      </c>
      <c r="D9" s="5" t="n">
        <v>1600</v>
      </c>
    </row>
    <row r="10" customFormat="false" ht="15" hidden="false" customHeight="true" outlineLevel="0" collapsed="false">
      <c r="A10" s="5" t="s">
        <v>120</v>
      </c>
      <c r="B10" s="5" t="s">
        <v>116</v>
      </c>
      <c r="C10" s="5" t="n">
        <v>3800</v>
      </c>
      <c r="D10" s="5" t="n">
        <v>1900</v>
      </c>
    </row>
    <row r="11" customFormat="false" ht="15" hidden="false" customHeight="true" outlineLevel="0" collapsed="false">
      <c r="A11" s="5" t="s">
        <v>174</v>
      </c>
      <c r="B11" s="5" t="s">
        <v>116</v>
      </c>
      <c r="C11" s="5" t="n">
        <v>5800</v>
      </c>
      <c r="D11" s="5" t="n">
        <v>2900</v>
      </c>
    </row>
    <row r="12" customFormat="false" ht="15" hidden="false" customHeight="true" outlineLevel="0" collapsed="false">
      <c r="A12" s="5" t="s">
        <v>117</v>
      </c>
      <c r="B12" s="5" t="s">
        <v>116</v>
      </c>
      <c r="C12" s="5" t="n">
        <v>1800</v>
      </c>
      <c r="D12" s="5" t="n">
        <v>760</v>
      </c>
    </row>
    <row r="13" customFormat="false" ht="15" hidden="false" customHeight="true" outlineLevel="0" collapsed="false">
      <c r="A13" s="5" t="s">
        <v>55</v>
      </c>
      <c r="B13" s="5" t="s">
        <v>47</v>
      </c>
      <c r="C13" s="5" t="n">
        <v>1500</v>
      </c>
      <c r="D13" s="5" t="n">
        <v>680</v>
      </c>
    </row>
    <row r="14" customFormat="false" ht="15" hidden="false" customHeight="true" outlineLevel="0" collapsed="false">
      <c r="A14" s="5" t="s">
        <v>48</v>
      </c>
      <c r="B14" s="5" t="s">
        <v>47</v>
      </c>
      <c r="C14" s="5" t="n">
        <v>980</v>
      </c>
      <c r="D14" s="5" t="n">
        <v>420</v>
      </c>
    </row>
    <row r="15" customFormat="false" ht="15" hidden="false" customHeight="true" outlineLevel="0" collapsed="false">
      <c r="A15" s="5" t="s">
        <v>74</v>
      </c>
      <c r="B15" s="5" t="s">
        <v>47</v>
      </c>
      <c r="C15" s="5" t="n">
        <v>880</v>
      </c>
      <c r="D15" s="5" t="n">
        <v>360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70"/>
  </cols>
  <sheetData>
    <row r="1" customFormat="false" ht="14.25" hidden="false" customHeight="true" outlineLevel="0" collapsed="false">
      <c r="A1" s="5" t="s">
        <v>556</v>
      </c>
    </row>
    <row r="2" customFormat="false" ht="14.25" hidden="false" customHeight="true" outlineLevel="0" collapsed="false">
      <c r="A2" s="5" t="s">
        <v>557</v>
      </c>
    </row>
    <row r="3" customFormat="false" ht="14.25" hidden="false" customHeight="true" outlineLevel="0" collapsed="false">
      <c r="A3" s="5" t="s">
        <v>558</v>
      </c>
    </row>
    <row r="4" customFormat="false" ht="15" hidden="false" customHeight="true" outlineLevel="0" collapsed="false">
      <c r="A4" s="5" t="s">
        <v>559</v>
      </c>
    </row>
    <row r="5" customFormat="false" ht="14.25" hidden="false" customHeight="true" outlineLevel="0" collapsed="false">
      <c r="A5" s="5" t="s">
        <v>560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14"/>
    <col collapsed="false" customWidth="true" hidden="false" outlineLevel="0" max="2" min="2" style="1" width="8"/>
    <col collapsed="false" customWidth="true" hidden="false" outlineLevel="0" max="4" min="3" style="1" width="12"/>
    <col collapsed="false" customWidth="true" hidden="false" outlineLevel="0" max="5" min="5" style="1" width="10"/>
  </cols>
  <sheetData>
    <row r="1" customFormat="false" ht="15" hidden="false" customHeight="true" outlineLevel="0" collapsed="false">
      <c r="A1" s="11" t="s">
        <v>26</v>
      </c>
      <c r="B1" s="11" t="s">
        <v>561</v>
      </c>
      <c r="C1" s="11" t="s">
        <v>39</v>
      </c>
      <c r="D1" s="11" t="s">
        <v>41</v>
      </c>
      <c r="E1" s="11" t="s">
        <v>562</v>
      </c>
    </row>
    <row r="2" customFormat="false" ht="15" hidden="false" customHeight="true" outlineLevel="0" collapsed="false">
      <c r="A2" s="5" t="s">
        <v>59</v>
      </c>
      <c r="B2" s="5" t="n">
        <f aca="false">COUNTIFS(1月売上!$C$2:$C$269,$A2,1月売上!$N$2:$N$269,"有効")</f>
        <v>66</v>
      </c>
      <c r="C2" s="7" t="n">
        <f aca="false">SUMIFS(1月売上!$P$2:$P$269,1月売上!$C$2:$C$269,$A2,1月売上!$N$2:$N$269,"有効")</f>
        <v>519041</v>
      </c>
      <c r="D2" s="7" t="n">
        <f aca="false">SUMIFS(1月売上!$R$2:$R$269,1月売上!$C$2:$C$269,$A2,1月売上!$N$2:$N$269,"有効")</f>
        <v>254151</v>
      </c>
      <c r="E2" s="18" t="n">
        <f aca="false">D2/C2</f>
        <v>0.48965495982013</v>
      </c>
    </row>
    <row r="3" customFormat="false" ht="15" hidden="false" customHeight="true" outlineLevel="0" collapsed="false">
      <c r="A3" s="5" t="s">
        <v>43</v>
      </c>
      <c r="B3" s="5" t="n">
        <f aca="false">COUNTIFS(1月売上!$C$2:$C$269,$A3,1月売上!$N$2:$N$269,"有効")</f>
        <v>52</v>
      </c>
      <c r="C3" s="7" t="n">
        <f aca="false">SUMIFS(1月売上!$P$2:$P$269,1月売上!$C$2:$C$269,$A3,1月売上!$N$2:$N$269,"有効")</f>
        <v>380114</v>
      </c>
      <c r="D3" s="7" t="n">
        <f aca="false">SUMIFS(1月売上!$R$2:$R$269,1月売上!$C$2:$C$269,$A3,1月売上!$N$2:$N$269,"有効")</f>
        <v>186894</v>
      </c>
      <c r="E3" s="18" t="n">
        <f aca="false">D3/C3</f>
        <v>0.49167881214583</v>
      </c>
    </row>
    <row r="4" customFormat="false" ht="15" hidden="false" customHeight="true" outlineLevel="0" collapsed="false">
      <c r="A4" s="5" t="s">
        <v>53</v>
      </c>
      <c r="B4" s="5" t="n">
        <f aca="false">COUNTIFS(1月売上!$C$2:$C$269,$A4,1月売上!$N$2:$N$269,"有効")</f>
        <v>66</v>
      </c>
      <c r="C4" s="7" t="n">
        <f aca="false">SUMIFS(1月売上!$P$2:$P$269,1月売上!$C$2:$C$269,$A4,1月売上!$N$2:$N$269,"有効")</f>
        <v>518616</v>
      </c>
      <c r="D4" s="7" t="n">
        <f aca="false">SUMIFS(1月売上!$R$2:$R$269,1月売上!$C$2:$C$269,$A4,1月売上!$N$2:$N$269,"有効")</f>
        <v>266816</v>
      </c>
      <c r="E4" s="18" t="n">
        <f aca="false">D4/C4</f>
        <v>0.514476992611103</v>
      </c>
    </row>
    <row r="5" customFormat="false" ht="15" hidden="false" customHeight="true" outlineLevel="0" collapsed="false">
      <c r="A5" s="5" t="s">
        <v>77</v>
      </c>
      <c r="B5" s="5" t="n">
        <f aca="false">COUNTIFS(1月売上!$C$2:$C$269,$A5,1月売上!$N$2:$N$269,"有効")</f>
        <v>41</v>
      </c>
      <c r="C5" s="7" t="n">
        <f aca="false">SUMIFS(1月売上!$P$2:$P$269,1月売上!$C$2:$C$269,$A5,1月売上!$N$2:$N$269,"有効")</f>
        <v>353591</v>
      </c>
      <c r="D5" s="7" t="n">
        <f aca="false">SUMIFS(1月売上!$R$2:$R$269,1月売上!$C$2:$C$269,$A5,1月売上!$N$2:$N$269,"有効")</f>
        <v>178501</v>
      </c>
      <c r="E5" s="18" t="n">
        <f aca="false">D5/C5</f>
        <v>0.504823369373089</v>
      </c>
    </row>
    <row r="6" customFormat="false" ht="15" hidden="false" customHeight="true" outlineLevel="0" collapsed="false">
      <c r="A6" s="5" t="s">
        <v>83</v>
      </c>
      <c r="B6" s="5" t="n">
        <f aca="false">COUNTIFS(1月売上!$C$2:$C$269,$A6,1月売上!$N$2:$N$269,"有効")</f>
        <v>30</v>
      </c>
      <c r="C6" s="7" t="n">
        <f aca="false">SUMIFS(1月売上!$P$2:$P$269,1月売上!$C$2:$C$269,$A6,1月売上!$N$2:$N$269,"有効")</f>
        <v>345600</v>
      </c>
      <c r="D6" s="7" t="n">
        <f aca="false">SUMIFS(1月売上!$R$2:$R$269,1月売上!$C$2:$C$269,$A6,1月売上!$N$2:$N$269,"有効")</f>
        <v>172820</v>
      </c>
      <c r="E6" s="18" t="n">
        <f aca="false">D6/C6</f>
        <v>0.50005787037037</v>
      </c>
    </row>
    <row r="7" customFormat="false" ht="15" hidden="false" customHeight="true" outlineLevel="0" collapsed="false">
      <c r="A7" s="19" t="s">
        <v>563</v>
      </c>
      <c r="B7" s="19" t="n">
        <f aca="false">SUM(B2:B6)</f>
        <v>255</v>
      </c>
      <c r="C7" s="20" t="n">
        <f aca="false">SUM(C2:C6)</f>
        <v>2116962</v>
      </c>
      <c r="D7" s="20" t="n">
        <f aca="false">SUM(D2:D6)</f>
        <v>1059182</v>
      </c>
      <c r="E7" s="8" t="n">
        <f aca="false">D7/C7</f>
        <v>0.500331134899918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14"/>
    <col collapsed="false" customWidth="true" hidden="false" outlineLevel="0" max="2" min="2" style="1" width="8"/>
    <col collapsed="false" customWidth="true" hidden="false" outlineLevel="0" max="4" min="3" style="1" width="12"/>
    <col collapsed="false" customWidth="true" hidden="false" outlineLevel="0" max="5" min="5" style="1" width="10"/>
  </cols>
  <sheetData>
    <row r="1" customFormat="false" ht="15" hidden="false" customHeight="true" outlineLevel="0" collapsed="false">
      <c r="A1" s="11" t="s">
        <v>27</v>
      </c>
      <c r="B1" s="11" t="s">
        <v>561</v>
      </c>
      <c r="C1" s="11" t="s">
        <v>39</v>
      </c>
      <c r="D1" s="11" t="s">
        <v>41</v>
      </c>
      <c r="E1" s="11" t="s">
        <v>562</v>
      </c>
    </row>
    <row r="2" customFormat="false" ht="15" hidden="false" customHeight="true" outlineLevel="0" collapsed="false">
      <c r="A2" s="5" t="s">
        <v>44</v>
      </c>
      <c r="B2" s="5" t="n">
        <f aca="false">COUNTIFS(1月売上!$D$2:$D$269,$A2,1月売上!$N$2:$N$269,"有効")</f>
        <v>169</v>
      </c>
      <c r="C2" s="7" t="n">
        <f aca="false">SUMIFS(1月売上!$P$2:$P$269,1月売上!$D$2:$D$269,$A2,1月売上!$N$2:$N$269,"有効")</f>
        <v>1425995</v>
      </c>
      <c r="D2" s="7" t="n">
        <f aca="false">SUMIFS(1月売上!$R$2:$R$269,1月売上!$D$2:$D$269,$A2,1月売上!$N$2:$N$269,"有効")</f>
        <v>715365</v>
      </c>
      <c r="E2" s="18" t="n">
        <f aca="false">D2/C2</f>
        <v>0.501660244250506</v>
      </c>
    </row>
    <row r="3" customFormat="false" ht="15" hidden="false" customHeight="true" outlineLevel="0" collapsed="false">
      <c r="A3" s="14" t="s">
        <v>70</v>
      </c>
      <c r="B3" s="5" t="n">
        <f aca="false">COUNTIFS(1月売上!$D$2:$D$269,$A3,1月売上!$N$2:$N$269,"有効")</f>
        <v>86</v>
      </c>
      <c r="C3" s="7" t="n">
        <f aca="false">SUMIFS(1月売上!$P$2:$P$269,1月売上!$D$2:$D$269,$A3,1月売上!$N$2:$N$269,"有効")</f>
        <v>690967</v>
      </c>
      <c r="D3" s="7" t="n">
        <f aca="false">SUMIFS(1月売上!$R$2:$R$269,1月売上!$D$2:$D$269,$A3,1月売上!$N$2:$N$269,"有効")</f>
        <v>343817</v>
      </c>
      <c r="E3" s="18" t="n">
        <f aca="false">D3/C3</f>
        <v>0.497588162676365</v>
      </c>
    </row>
    <row r="4" customFormat="false" ht="15" hidden="false" customHeight="true" outlineLevel="0" collapsed="false">
      <c r="A4" s="19" t="s">
        <v>563</v>
      </c>
      <c r="B4" s="19" t="n">
        <f aca="false">SUM(B2:B3)</f>
        <v>255</v>
      </c>
      <c r="C4" s="20" t="n">
        <f aca="false">SUM(C2:C3)</f>
        <v>2116962</v>
      </c>
      <c r="D4" s="20" t="n">
        <f aca="false">SUM(D2:D3)</f>
        <v>1059182</v>
      </c>
      <c r="E4" s="8" t="n">
        <f aca="false">D4/C4</f>
        <v>0.500331134899918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14"/>
    <col collapsed="false" customWidth="true" hidden="false" outlineLevel="0" max="2" min="2" style="1" width="8"/>
    <col collapsed="false" customWidth="true" hidden="false" outlineLevel="0" max="4" min="3" style="1" width="12"/>
    <col collapsed="false" customWidth="true" hidden="false" outlineLevel="0" max="5" min="5" style="1" width="10"/>
  </cols>
  <sheetData>
    <row r="1" customFormat="false" ht="15" hidden="false" customHeight="true" outlineLevel="0" collapsed="false">
      <c r="A1" s="11" t="s">
        <v>30</v>
      </c>
      <c r="B1" s="11" t="s">
        <v>561</v>
      </c>
      <c r="C1" s="11" t="s">
        <v>39</v>
      </c>
      <c r="D1" s="11" t="s">
        <v>41</v>
      </c>
      <c r="E1" s="11" t="s">
        <v>562</v>
      </c>
    </row>
    <row r="2" customFormat="false" ht="15" hidden="false" customHeight="true" outlineLevel="0" collapsed="false">
      <c r="A2" s="5" t="s">
        <v>67</v>
      </c>
      <c r="B2" s="5" t="n">
        <f aca="false">COUNTIFS(1月売上!$G$2:$G$269,$A2,1月売上!$N$2:$N$269,"有効")</f>
        <v>66</v>
      </c>
      <c r="C2" s="7" t="n">
        <f aca="false">SUMIFS(1月売上!$P$2:$P$269,1月売上!$G$2:$G$269,$A2,1月売上!$N$2:$N$269,"有効")</f>
        <v>283620</v>
      </c>
      <c r="D2" s="7" t="n">
        <f aca="false">SUMIFS(1月売上!$R$2:$R$269,1月売上!$G$2:$G$269,$A2,1月売上!$N$2:$N$269,"有効")</f>
        <v>154000</v>
      </c>
      <c r="E2" s="18" t="n">
        <f aca="false">D2/C2</f>
        <v>0.542980043720471</v>
      </c>
    </row>
    <row r="3" customFormat="false" ht="15" hidden="false" customHeight="true" outlineLevel="0" collapsed="false">
      <c r="A3" s="5" t="s">
        <v>62</v>
      </c>
      <c r="B3" s="5" t="n">
        <f aca="false">COUNTIFS(1月売上!$G$2:$G$269,$A3,1月売上!$N$2:$N$269,"有効")</f>
        <v>79</v>
      </c>
      <c r="C3" s="7" t="n">
        <f aca="false">SUMIFS(1月売上!$P$2:$P$269,1月売上!$G$2:$G$269,$A3,1月売上!$N$2:$N$269,"有効")</f>
        <v>874402</v>
      </c>
      <c r="D3" s="7" t="n">
        <f aca="false">SUMIFS(1月売上!$R$2:$R$269,1月売上!$G$2:$G$269,$A3,1月売上!$N$2:$N$269,"有効")</f>
        <v>409982</v>
      </c>
      <c r="E3" s="18" t="n">
        <f aca="false">D3/C3</f>
        <v>0.468871297183675</v>
      </c>
    </row>
    <row r="4" customFormat="false" ht="15" hidden="false" customHeight="true" outlineLevel="0" collapsed="false">
      <c r="A4" s="5" t="s">
        <v>116</v>
      </c>
      <c r="B4" s="5" t="n">
        <f aca="false">COUNTIFS(1月売上!$G$2:$G$269,$A4,1月売上!$N$2:$N$269,"有効")</f>
        <v>54</v>
      </c>
      <c r="C4" s="7" t="n">
        <f aca="false">SUMIFS(1月売上!$P$2:$P$269,1月売上!$G$2:$G$269,$A4,1月売上!$N$2:$N$269,"有効")</f>
        <v>687620</v>
      </c>
      <c r="D4" s="7" t="n">
        <f aca="false">SUMIFS(1月売上!$R$2:$R$269,1月売上!$G$2:$G$269,$A4,1月売上!$N$2:$N$269,"有効")</f>
        <v>343880</v>
      </c>
      <c r="E4" s="18" t="n">
        <f aca="false">D4/C4</f>
        <v>0.500101800413019</v>
      </c>
    </row>
    <row r="5" customFormat="false" ht="15" hidden="false" customHeight="true" outlineLevel="0" collapsed="false">
      <c r="A5" s="5" t="s">
        <v>47</v>
      </c>
      <c r="B5" s="5" t="n">
        <f aca="false">COUNTIFS(1月売上!$G$2:$G$269,$A5,1月売上!$N$2:$N$269,"有効")</f>
        <v>56</v>
      </c>
      <c r="C5" s="7" t="n">
        <f aca="false">SUMIFS(1月売上!$P$2:$P$269,1月売上!$G$2:$G$269,$A5,1月売上!$N$2:$N$269,"有効")</f>
        <v>271320</v>
      </c>
      <c r="D5" s="7" t="n">
        <f aca="false">SUMIFS(1月売上!$R$2:$R$269,1月売上!$G$2:$G$269,$A5,1月売上!$N$2:$N$269,"有効")</f>
        <v>151320</v>
      </c>
      <c r="E5" s="18" t="n">
        <f aca="false">D5/C5</f>
        <v>0.557717823971694</v>
      </c>
    </row>
    <row r="6" customFormat="false" ht="15" hidden="false" customHeight="true" outlineLevel="0" collapsed="false">
      <c r="A6" s="19" t="s">
        <v>563</v>
      </c>
      <c r="B6" s="19" t="n">
        <f aca="false">SUM(B2:B5)</f>
        <v>255</v>
      </c>
      <c r="C6" s="20" t="n">
        <f aca="false">SUM(C2:C5)</f>
        <v>2116962</v>
      </c>
      <c r="D6" s="20" t="n">
        <f aca="false">SUM(D2:D5)</f>
        <v>1059182</v>
      </c>
      <c r="E6" s="8" t="n">
        <f aca="false">D6/C6</f>
        <v>0.500331134899918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14"/>
    <col collapsed="false" customWidth="true" hidden="false" outlineLevel="0" max="2" min="2" style="1" width="8"/>
    <col collapsed="false" customWidth="true" hidden="false" outlineLevel="0" max="4" min="3" style="1" width="12"/>
    <col collapsed="false" customWidth="true" hidden="false" outlineLevel="0" max="5" min="5" style="1" width="10"/>
  </cols>
  <sheetData>
    <row r="1" customFormat="false" ht="15" hidden="false" customHeight="true" outlineLevel="0" collapsed="false">
      <c r="A1" s="11" t="s">
        <v>29</v>
      </c>
      <c r="B1" s="11" t="s">
        <v>561</v>
      </c>
      <c r="C1" s="11" t="s">
        <v>39</v>
      </c>
      <c r="D1" s="11" t="s">
        <v>41</v>
      </c>
      <c r="E1" s="11" t="s">
        <v>562</v>
      </c>
    </row>
    <row r="2" customFormat="false" ht="15" hidden="false" customHeight="true" outlineLevel="0" collapsed="false">
      <c r="A2" s="5" t="s">
        <v>79</v>
      </c>
      <c r="B2" s="5" t="n">
        <f aca="false">COUNTIFS(1月売上!$F$2:$F$269,$A2,1月売上!$N$2:$N$269,"有効")</f>
        <v>90</v>
      </c>
      <c r="C2" s="7" t="n">
        <f aca="false">SUMIFS(1月売上!$P$2:$P$269,1月売上!$F$2:$F$269,$A2,1月売上!$N$2:$N$269,"有効")</f>
        <v>509675</v>
      </c>
      <c r="D2" s="7" t="n">
        <f aca="false">SUMIFS(1月売上!$R$2:$R$269,1月売上!$F$2:$F$269,$A2,1月売上!$N$2:$N$269,"有効")</f>
        <v>254105</v>
      </c>
      <c r="E2" s="18" t="n">
        <f aca="false">D2/C2</f>
        <v>0.49856280963359</v>
      </c>
    </row>
    <row r="3" customFormat="false" ht="15" hidden="false" customHeight="true" outlineLevel="0" collapsed="false">
      <c r="A3" s="5" t="s">
        <v>61</v>
      </c>
      <c r="B3" s="5" t="n">
        <f aca="false">COUNTIFS(1月売上!$F$2:$F$269,$A3,1月売上!$N$2:$N$269,"有効")</f>
        <v>96</v>
      </c>
      <c r="C3" s="7" t="n">
        <f aca="false">SUMIFS(1月売上!$P$2:$P$269,1月売上!$F$2:$F$269,$A3,1月売上!$N$2:$N$269,"有効")</f>
        <v>509567</v>
      </c>
      <c r="D3" s="7" t="n">
        <f aca="false">SUMIFS(1月売上!$R$2:$R$269,1月売上!$F$2:$F$269,$A3,1月売上!$N$2:$N$269,"有効")</f>
        <v>252587</v>
      </c>
      <c r="E3" s="18" t="n">
        <f aca="false">D3/C3</f>
        <v>0.495689477536811</v>
      </c>
    </row>
    <row r="4" customFormat="false" ht="15" hidden="false" customHeight="true" outlineLevel="0" collapsed="false">
      <c r="A4" s="5" t="s">
        <v>46</v>
      </c>
      <c r="B4" s="5" t="n">
        <f aca="false">COUNTIFS(1月売上!$F$2:$F$269,$A4,1月売上!$N$2:$N$269,"有効")</f>
        <v>31</v>
      </c>
      <c r="C4" s="7" t="n">
        <f aca="false">SUMIFS(1月売上!$P$2:$P$269,1月売上!$F$2:$F$269,$A4,1月売上!$N$2:$N$269,"有効")</f>
        <v>879390</v>
      </c>
      <c r="D4" s="7" t="n">
        <f aca="false">SUMIFS(1月売上!$R$2:$R$269,1月売上!$F$2:$F$269,$A4,1月売上!$N$2:$N$269,"有効")</f>
        <v>447650</v>
      </c>
      <c r="E4" s="18" t="n">
        <f aca="false">D4/C4</f>
        <v>0.509046043280001</v>
      </c>
    </row>
    <row r="5" customFormat="false" ht="15" hidden="false" customHeight="true" outlineLevel="0" collapsed="false">
      <c r="A5" s="5" t="s">
        <v>564</v>
      </c>
      <c r="B5" s="5" t="n">
        <f aca="false">SUMPRODUCT((1月売上!$F$2:$F$269="")*(1月売上!$N$2:$N$269="有効"))</f>
        <v>38</v>
      </c>
      <c r="C5" s="7" t="n">
        <f aca="false">SUMPRODUCT((1月売上!$F$2:$F$269="")*(1月売上!$N$2:$N$269="有効")*1月売上!$P$2:$P$269)</f>
        <v>218330</v>
      </c>
      <c r="D5" s="7" t="n">
        <f aca="false">SUMPRODUCT((1月売上!$F$2:$F$269="")*(1月売上!$N$2:$N$269="有効")*1月売上!$R$2:$R$269)</f>
        <v>104840</v>
      </c>
      <c r="E5" s="18" t="n">
        <f aca="false">D5/C5</f>
        <v>0.480190537260111</v>
      </c>
    </row>
    <row r="6" customFormat="false" ht="15" hidden="false" customHeight="true" outlineLevel="0" collapsed="false">
      <c r="A6" s="21" t="s">
        <v>563</v>
      </c>
      <c r="B6" s="19" t="n">
        <f aca="false">SUM(B2:B5)</f>
        <v>255</v>
      </c>
      <c r="C6" s="20" t="n">
        <f aca="false">SUM(C2:C5)</f>
        <v>2116962</v>
      </c>
      <c r="D6" s="20" t="n">
        <f aca="false">SUM(D2:D5)</f>
        <v>1059182</v>
      </c>
      <c r="E6" s="8" t="n">
        <f aca="false">D6/C6</f>
        <v>0.500331134899918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3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1" width="12"/>
    <col collapsed="false" customWidth="true" hidden="false" outlineLevel="0" max="2" min="2" style="1" width="8"/>
    <col collapsed="false" customWidth="true" hidden="false" outlineLevel="0" max="4" min="3" style="1" width="12"/>
    <col collapsed="false" customWidth="true" hidden="false" outlineLevel="0" max="5" min="5" style="1" width="16"/>
  </cols>
  <sheetData>
    <row r="1" customFormat="false" ht="15" hidden="false" customHeight="true" outlineLevel="0" collapsed="false">
      <c r="A1" s="11" t="s">
        <v>565</v>
      </c>
      <c r="B1" s="11" t="s">
        <v>561</v>
      </c>
      <c r="C1" s="11" t="s">
        <v>39</v>
      </c>
      <c r="D1" s="11" t="s">
        <v>41</v>
      </c>
      <c r="E1" s="11" t="s">
        <v>566</v>
      </c>
    </row>
    <row r="2" customFormat="false" ht="15" hidden="false" customHeight="true" outlineLevel="0" collapsed="false">
      <c r="A2" s="15" t="n">
        <f aca="false">DATE(2026,1,1)</f>
        <v>46023</v>
      </c>
      <c r="B2" s="5" t="n">
        <f aca="false">COUNTIFS(1月売上!$B$2:$B$269,$A2,1月売上!$N$2:$N$269,"有効")</f>
        <v>5</v>
      </c>
      <c r="C2" s="7" t="n">
        <f aca="false">SUMIFS(1月売上!$P$2:$P$269,1月売上!$B$2:$B$269,$A2,1月売上!$N$2:$N$269,"有効")</f>
        <v>33480</v>
      </c>
      <c r="D2" s="7" t="n">
        <f aca="false">SUMIFS(1月売上!$R$2:$R$269,1月売上!$B$2:$B$269,$A2,1月売上!$N$2:$N$269,"有効")</f>
        <v>16620</v>
      </c>
      <c r="E2" s="5" t="str">
        <f aca="false">IF(AND($A2&gt;=DATE(2026,1,13),$A2&lt;=DATE(2026,1,19)),"期間内","")</f>
        <v/>
      </c>
    </row>
    <row r="3" customFormat="false" ht="15" hidden="false" customHeight="true" outlineLevel="0" collapsed="false">
      <c r="A3" s="15" t="n">
        <f aca="false">A2+1</f>
        <v>46024</v>
      </c>
      <c r="B3" s="5" t="n">
        <f aca="false">COUNTIFS(1月売上!$B$2:$B$269,$A3,1月売上!$N$2:$N$269,"有効")</f>
        <v>10</v>
      </c>
      <c r="C3" s="7" t="n">
        <f aca="false">SUMIFS(1月売上!$P$2:$P$269,1月売上!$B$2:$B$269,$A3,1月売上!$N$2:$N$269,"有効")</f>
        <v>157040</v>
      </c>
      <c r="D3" s="7" t="n">
        <f aca="false">SUMIFS(1月売上!$R$2:$R$269,1月売上!$B$2:$B$269,$A3,1月売上!$N$2:$N$269,"有効")</f>
        <v>78680</v>
      </c>
      <c r="E3" s="5" t="str">
        <f aca="false">IF(AND($A3&gt;=DATE(2026,1,13),$A3&lt;=DATE(2026,1,19)),"期間内","")</f>
        <v/>
      </c>
    </row>
    <row r="4" customFormat="false" ht="15" hidden="false" customHeight="true" outlineLevel="0" collapsed="false">
      <c r="A4" s="15" t="n">
        <f aca="false">A3+1</f>
        <v>46025</v>
      </c>
      <c r="B4" s="5" t="n">
        <f aca="false">COUNTIFS(1月売上!$B$2:$B$269,$A4,1月売上!$N$2:$N$269,"有効")</f>
        <v>11</v>
      </c>
      <c r="C4" s="7" t="n">
        <f aca="false">SUMIFS(1月売上!$P$2:$P$269,1月売上!$B$2:$B$269,$A4,1月売上!$N$2:$N$269,"有効")</f>
        <v>40600</v>
      </c>
      <c r="D4" s="7" t="n">
        <f aca="false">SUMIFS(1月売上!$R$2:$R$269,1月売上!$B$2:$B$269,$A4,1月売上!$N$2:$N$269,"有効")</f>
        <v>21240</v>
      </c>
      <c r="E4" s="5" t="str">
        <f aca="false">IF(AND($A4&gt;=DATE(2026,1,13),$A4&lt;=DATE(2026,1,19)),"期間内","")</f>
        <v/>
      </c>
    </row>
    <row r="5" customFormat="false" ht="15" hidden="false" customHeight="true" outlineLevel="0" collapsed="false">
      <c r="A5" s="15" t="n">
        <f aca="false">A4+1</f>
        <v>46026</v>
      </c>
      <c r="B5" s="5" t="n">
        <f aca="false">COUNTIFS(1月売上!$B$2:$B$269,$A5,1月売上!$N$2:$N$269,"有効")</f>
        <v>0</v>
      </c>
      <c r="C5" s="7" t="n">
        <f aca="false">SUMIFS(1月売上!$P$2:$P$269,1月売上!$B$2:$B$269,$A5,1月売上!$N$2:$N$269,"有効")</f>
        <v>0</v>
      </c>
      <c r="D5" s="7" t="n">
        <f aca="false">SUMIFS(1月売上!$R$2:$R$269,1月売上!$B$2:$B$269,$A5,1月売上!$N$2:$N$269,"有効")</f>
        <v>0</v>
      </c>
      <c r="E5" s="5" t="str">
        <f aca="false">IF(AND($A5&gt;=DATE(2026,1,13),$A5&lt;=DATE(2026,1,19)),"期間内","")</f>
        <v/>
      </c>
    </row>
    <row r="6" customFormat="false" ht="15" hidden="false" customHeight="true" outlineLevel="0" collapsed="false">
      <c r="A6" s="15" t="n">
        <f aca="false">A5+1</f>
        <v>46027</v>
      </c>
      <c r="B6" s="5" t="n">
        <f aca="false">COUNTIFS(1月売上!$B$2:$B$269,$A6,1月売上!$N$2:$N$269,"有効")</f>
        <v>3</v>
      </c>
      <c r="C6" s="7" t="n">
        <f aca="false">SUMIFS(1月売上!$P$2:$P$269,1月売上!$B$2:$B$269,$A6,1月売上!$N$2:$N$269,"有効")</f>
        <v>13720</v>
      </c>
      <c r="D6" s="7" t="n">
        <f aca="false">SUMIFS(1月売上!$R$2:$R$269,1月売上!$B$2:$B$269,$A6,1月売上!$N$2:$N$269,"有効")</f>
        <v>7040</v>
      </c>
      <c r="E6" s="5" t="str">
        <f aca="false">IF(AND($A6&gt;=DATE(2026,1,13),$A6&lt;=DATE(2026,1,19)),"期間内","")</f>
        <v/>
      </c>
    </row>
    <row r="7" customFormat="false" ht="15" hidden="false" customHeight="true" outlineLevel="0" collapsed="false">
      <c r="A7" s="15" t="n">
        <f aca="false">A6+1</f>
        <v>46028</v>
      </c>
      <c r="B7" s="5" t="n">
        <f aca="false">COUNTIFS(1月売上!$B$2:$B$269,$A7,1月売上!$N$2:$N$269,"有効")</f>
        <v>2</v>
      </c>
      <c r="C7" s="7" t="n">
        <f aca="false">SUMIFS(1月売上!$P$2:$P$269,1月売上!$B$2:$B$269,$A7,1月売上!$N$2:$N$269,"有効")</f>
        <v>11000</v>
      </c>
      <c r="D7" s="7" t="n">
        <f aca="false">SUMIFS(1月売上!$R$2:$R$269,1月売上!$B$2:$B$269,$A7,1月売上!$N$2:$N$269,"有効")</f>
        <v>5650</v>
      </c>
      <c r="E7" s="5" t="str">
        <f aca="false">IF(AND($A7&gt;=DATE(2026,1,13),$A7&lt;=DATE(2026,1,19)),"期間内","")</f>
        <v/>
      </c>
    </row>
    <row r="8" customFormat="false" ht="15" hidden="false" customHeight="true" outlineLevel="0" collapsed="false">
      <c r="A8" s="15" t="n">
        <f aca="false">A7+1</f>
        <v>46029</v>
      </c>
      <c r="B8" s="5" t="n">
        <f aca="false">COUNTIFS(1月売上!$B$2:$B$269,$A8,1月売上!$N$2:$N$269,"有効")</f>
        <v>9</v>
      </c>
      <c r="C8" s="7" t="n">
        <f aca="false">SUMIFS(1月売上!$P$2:$P$269,1月売上!$B$2:$B$269,$A8,1月売上!$N$2:$N$269,"有効")</f>
        <v>79756</v>
      </c>
      <c r="D8" s="7" t="n">
        <f aca="false">SUMIFS(1月売上!$R$2:$R$269,1月売上!$B$2:$B$269,$A8,1月売上!$N$2:$N$269,"有効")</f>
        <v>37956</v>
      </c>
      <c r="E8" s="5" t="str">
        <f aca="false">IF(AND($A8&gt;=DATE(2026,1,13),$A8&lt;=DATE(2026,1,19)),"期間内","")</f>
        <v/>
      </c>
    </row>
    <row r="9" customFormat="false" ht="15" hidden="false" customHeight="true" outlineLevel="0" collapsed="false">
      <c r="A9" s="15" t="n">
        <f aca="false">A8+1</f>
        <v>46030</v>
      </c>
      <c r="B9" s="5" t="n">
        <f aca="false">COUNTIFS(1月売上!$B$2:$B$269,$A9,1月売上!$N$2:$N$269,"有効")</f>
        <v>8</v>
      </c>
      <c r="C9" s="7" t="n">
        <f aca="false">SUMIFS(1月売上!$P$2:$P$269,1月売上!$B$2:$B$269,$A9,1月売上!$N$2:$N$269,"有効")</f>
        <v>43040</v>
      </c>
      <c r="D9" s="7" t="n">
        <f aca="false">SUMIFS(1月売上!$R$2:$R$269,1月売上!$B$2:$B$269,$A9,1月売上!$N$2:$N$269,"有効")</f>
        <v>22170</v>
      </c>
      <c r="E9" s="5" t="str">
        <f aca="false">IF(AND($A9&gt;=DATE(2026,1,13),$A9&lt;=DATE(2026,1,19)),"期間内","")</f>
        <v/>
      </c>
    </row>
    <row r="10" customFormat="false" ht="15" hidden="false" customHeight="true" outlineLevel="0" collapsed="false">
      <c r="A10" s="15" t="n">
        <f aca="false">A9+1</f>
        <v>46031</v>
      </c>
      <c r="B10" s="5" t="n">
        <f aca="false">COUNTIFS(1月売上!$B$2:$B$269,$A10,1月売上!$N$2:$N$269,"有効")</f>
        <v>7</v>
      </c>
      <c r="C10" s="7" t="n">
        <f aca="false">SUMIFS(1月売上!$P$2:$P$269,1月売上!$B$2:$B$269,$A10,1月売上!$N$2:$N$269,"有効")</f>
        <v>34520</v>
      </c>
      <c r="D10" s="7" t="n">
        <f aca="false">SUMIFS(1月売上!$R$2:$R$269,1月売上!$B$2:$B$269,$A10,1月売上!$N$2:$N$269,"有効")</f>
        <v>16640</v>
      </c>
      <c r="E10" s="5" t="str">
        <f aca="false">IF(AND($A10&gt;=DATE(2026,1,13),$A10&lt;=DATE(2026,1,19)),"期間内","")</f>
        <v/>
      </c>
    </row>
    <row r="11" customFormat="false" ht="15" hidden="false" customHeight="true" outlineLevel="0" collapsed="false">
      <c r="A11" s="15" t="n">
        <f aca="false">A10+1</f>
        <v>46032</v>
      </c>
      <c r="B11" s="5" t="n">
        <f aca="false">COUNTIFS(1月売上!$B$2:$B$269,$A11,1月売上!$N$2:$N$269,"有効")</f>
        <v>6</v>
      </c>
      <c r="C11" s="7" t="n">
        <f aca="false">SUMIFS(1月売上!$P$2:$P$269,1月売上!$B$2:$B$269,$A11,1月売上!$N$2:$N$269,"有効")</f>
        <v>59582</v>
      </c>
      <c r="D11" s="7" t="n">
        <f aca="false">SUMIFS(1月売上!$R$2:$R$269,1月売上!$B$2:$B$269,$A11,1月売上!$N$2:$N$269,"有効")</f>
        <v>29362</v>
      </c>
      <c r="E11" s="5" t="str">
        <f aca="false">IF(AND($A11&gt;=DATE(2026,1,13),$A11&lt;=DATE(2026,1,19)),"期間内","")</f>
        <v/>
      </c>
    </row>
    <row r="12" customFormat="false" ht="15" hidden="false" customHeight="true" outlineLevel="0" collapsed="false">
      <c r="A12" s="15" t="n">
        <f aca="false">A11+1</f>
        <v>46033</v>
      </c>
      <c r="B12" s="5" t="n">
        <f aca="false">COUNTIFS(1月売上!$B$2:$B$269,$A12,1月売上!$N$2:$N$269,"有効")</f>
        <v>12</v>
      </c>
      <c r="C12" s="7" t="n">
        <f aca="false">SUMIFS(1月売上!$P$2:$P$269,1月売上!$B$2:$B$269,$A12,1月売上!$N$2:$N$269,"有効")</f>
        <v>115700</v>
      </c>
      <c r="D12" s="7" t="n">
        <f aca="false">SUMIFS(1月売上!$R$2:$R$269,1月売上!$B$2:$B$269,$A12,1月売上!$N$2:$N$269,"有効")</f>
        <v>58550</v>
      </c>
      <c r="E12" s="5" t="str">
        <f aca="false">IF(AND($A12&gt;=DATE(2026,1,13),$A12&lt;=DATE(2026,1,19)),"期間内","")</f>
        <v/>
      </c>
    </row>
    <row r="13" customFormat="false" ht="15" hidden="false" customHeight="true" outlineLevel="0" collapsed="false">
      <c r="A13" s="15" t="n">
        <f aca="false">A12+1</f>
        <v>46034</v>
      </c>
      <c r="B13" s="5" t="n">
        <f aca="false">COUNTIFS(1月売上!$B$2:$B$269,$A13,1月売上!$N$2:$N$269,"有効")</f>
        <v>13</v>
      </c>
      <c r="C13" s="7" t="n">
        <f aca="false">SUMIFS(1月売上!$P$2:$P$269,1月売上!$B$2:$B$269,$A13,1月売上!$N$2:$N$269,"有効")</f>
        <v>58960</v>
      </c>
      <c r="D13" s="7" t="n">
        <f aca="false">SUMIFS(1月売上!$R$2:$R$269,1月売上!$B$2:$B$269,$A13,1月売上!$N$2:$N$269,"有効")</f>
        <v>30240</v>
      </c>
      <c r="E13" s="5" t="str">
        <f aca="false">IF(AND($A13&gt;=DATE(2026,1,13),$A13&lt;=DATE(2026,1,19)),"期間内","")</f>
        <v/>
      </c>
    </row>
    <row r="14" customFormat="false" ht="15" hidden="false" customHeight="true" outlineLevel="0" collapsed="false">
      <c r="A14" s="15" t="n">
        <f aca="false">A13+1</f>
        <v>46035</v>
      </c>
      <c r="B14" s="5" t="n">
        <f aca="false">COUNTIFS(1月売上!$B$2:$B$269,$A14,1月売上!$N$2:$N$269,"有効")</f>
        <v>16</v>
      </c>
      <c r="C14" s="7" t="n">
        <f aca="false">SUMIFS(1月売上!$P$2:$P$269,1月売上!$B$2:$B$269,$A14,1月売上!$N$2:$N$269,"有効")</f>
        <v>153000</v>
      </c>
      <c r="D14" s="7" t="n">
        <f aca="false">SUMIFS(1月売上!$R$2:$R$269,1月売上!$B$2:$B$269,$A14,1月売上!$N$2:$N$269,"有効")</f>
        <v>75350</v>
      </c>
      <c r="E14" s="5" t="str">
        <f aca="false">IF(AND($A14&gt;=DATE(2026,1,13),$A14&lt;=DATE(2026,1,19)),"期間内","")</f>
        <v>期間内</v>
      </c>
    </row>
    <row r="15" customFormat="false" ht="15" hidden="false" customHeight="true" outlineLevel="0" collapsed="false">
      <c r="A15" s="15" t="n">
        <f aca="false">A14+1</f>
        <v>46036</v>
      </c>
      <c r="B15" s="5" t="n">
        <f aca="false">COUNTIFS(1月売上!$B$2:$B$269,$A15,1月売上!$N$2:$N$269,"有効")</f>
        <v>13</v>
      </c>
      <c r="C15" s="7" t="n">
        <f aca="false">SUMIFS(1月売上!$P$2:$P$269,1月売上!$B$2:$B$269,$A15,1月売上!$N$2:$N$269,"有効")</f>
        <v>110974</v>
      </c>
      <c r="D15" s="7" t="n">
        <f aca="false">SUMIFS(1月売上!$R$2:$R$269,1月売上!$B$2:$B$269,$A15,1月売上!$N$2:$N$269,"有効")</f>
        <v>56254</v>
      </c>
      <c r="E15" s="5" t="str">
        <f aca="false">IF(AND($A15&gt;=DATE(2026,1,13),$A15&lt;=DATE(2026,1,19)),"期間内","")</f>
        <v>期間内</v>
      </c>
    </row>
    <row r="16" customFormat="false" ht="15" hidden="false" customHeight="true" outlineLevel="0" collapsed="false">
      <c r="A16" s="15" t="n">
        <f aca="false">A15+1</f>
        <v>46037</v>
      </c>
      <c r="B16" s="5" t="n">
        <f aca="false">COUNTIFS(1月売上!$B$2:$B$269,$A16,1月売上!$N$2:$N$269,"有効")</f>
        <v>7</v>
      </c>
      <c r="C16" s="7" t="n">
        <f aca="false">SUMIFS(1月売上!$P$2:$P$269,1月売上!$B$2:$B$269,$A16,1月売上!$N$2:$N$269,"有効")</f>
        <v>51440</v>
      </c>
      <c r="D16" s="7" t="n">
        <f aca="false">SUMIFS(1月売上!$R$2:$R$269,1月売上!$B$2:$B$269,$A16,1月売上!$N$2:$N$269,"有効")</f>
        <v>25330</v>
      </c>
      <c r="E16" s="5" t="str">
        <f aca="false">IF(AND($A16&gt;=DATE(2026,1,13),$A16&lt;=DATE(2026,1,19)),"期間内","")</f>
        <v>期間内</v>
      </c>
    </row>
    <row r="17" customFormat="false" ht="15" hidden="false" customHeight="true" outlineLevel="0" collapsed="false">
      <c r="A17" s="15" t="n">
        <f aca="false">A16+1</f>
        <v>46038</v>
      </c>
      <c r="B17" s="5" t="n">
        <f aca="false">COUNTIFS(1月売上!$B$2:$B$269,$A17,1月売上!$N$2:$N$269,"有効")</f>
        <v>4</v>
      </c>
      <c r="C17" s="7" t="n">
        <f aca="false">SUMIFS(1月売上!$P$2:$P$269,1月売上!$B$2:$B$269,$A17,1月売上!$N$2:$N$269,"有効")</f>
        <v>53710</v>
      </c>
      <c r="D17" s="7" t="n">
        <f aca="false">SUMIFS(1月売上!$R$2:$R$269,1月売上!$B$2:$B$269,$A17,1月売上!$N$2:$N$269,"有効")</f>
        <v>26710</v>
      </c>
      <c r="E17" s="5" t="str">
        <f aca="false">IF(AND($A17&gt;=DATE(2026,1,13),$A17&lt;=DATE(2026,1,19)),"期間内","")</f>
        <v>期間内</v>
      </c>
    </row>
    <row r="18" customFormat="false" ht="15" hidden="false" customHeight="true" outlineLevel="0" collapsed="false">
      <c r="A18" s="15" t="n">
        <f aca="false">A17+1</f>
        <v>46039</v>
      </c>
      <c r="B18" s="5" t="n">
        <f aca="false">COUNTIFS(1月売上!$B$2:$B$269,$A18,1月売上!$N$2:$N$269,"有効")</f>
        <v>5</v>
      </c>
      <c r="C18" s="7" t="n">
        <f aca="false">SUMIFS(1月売上!$P$2:$P$269,1月売上!$B$2:$B$269,$A18,1月売上!$N$2:$N$269,"有効")</f>
        <v>8004</v>
      </c>
      <c r="D18" s="7" t="n">
        <f aca="false">SUMIFS(1月売上!$R$2:$R$269,1月売上!$B$2:$B$269,$A18,1月売上!$N$2:$N$269,"有効")</f>
        <v>4424</v>
      </c>
      <c r="E18" s="5" t="str">
        <f aca="false">IF(AND($A18&gt;=DATE(2026,1,13),$A18&lt;=DATE(2026,1,19)),"期間内","")</f>
        <v>期間内</v>
      </c>
    </row>
    <row r="19" customFormat="false" ht="15" hidden="false" customHeight="true" outlineLevel="0" collapsed="false">
      <c r="A19" s="15" t="n">
        <f aca="false">A18+1</f>
        <v>46040</v>
      </c>
      <c r="B19" s="5" t="n">
        <f aca="false">COUNTIFS(1月売上!$B$2:$B$269,$A19,1月売上!$N$2:$N$269,"有効")</f>
        <v>10</v>
      </c>
      <c r="C19" s="7" t="n">
        <f aca="false">SUMIFS(1月売上!$P$2:$P$269,1月売上!$B$2:$B$269,$A19,1月売上!$N$2:$N$269,"有効")</f>
        <v>68720</v>
      </c>
      <c r="D19" s="7" t="n">
        <f aca="false">SUMIFS(1月売上!$R$2:$R$269,1月売上!$B$2:$B$269,$A19,1月売上!$N$2:$N$269,"有効")</f>
        <v>37940</v>
      </c>
      <c r="E19" s="5" t="str">
        <f aca="false">IF(AND($A19&gt;=DATE(2026,1,13),$A19&lt;=DATE(2026,1,19)),"期間内","")</f>
        <v>期間内</v>
      </c>
    </row>
    <row r="20" customFormat="false" ht="15" hidden="false" customHeight="true" outlineLevel="0" collapsed="false">
      <c r="A20" s="15" t="n">
        <f aca="false">A19+1</f>
        <v>46041</v>
      </c>
      <c r="B20" s="5" t="n">
        <f aca="false">COUNTIFS(1月売上!$B$2:$B$269,$A20,1月売上!$N$2:$N$269,"有効")</f>
        <v>12</v>
      </c>
      <c r="C20" s="7" t="n">
        <f aca="false">SUMIFS(1月売上!$P$2:$P$269,1月売上!$B$2:$B$269,$A20,1月売上!$N$2:$N$269,"有効")</f>
        <v>109878</v>
      </c>
      <c r="D20" s="7" t="n">
        <f aca="false">SUMIFS(1月売上!$R$2:$R$269,1月売上!$B$2:$B$269,$A20,1月売上!$N$2:$N$269,"有効")</f>
        <v>56318</v>
      </c>
      <c r="E20" s="5" t="str">
        <f aca="false">IF(AND($A20&gt;=DATE(2026,1,13),$A20&lt;=DATE(2026,1,19)),"期間内","")</f>
        <v>期間内</v>
      </c>
    </row>
    <row r="21" customFormat="false" ht="15" hidden="false" customHeight="true" outlineLevel="0" collapsed="false">
      <c r="A21" s="15" t="n">
        <f aca="false">A20+1</f>
        <v>46042</v>
      </c>
      <c r="B21" s="5" t="n">
        <f aca="false">COUNTIFS(1月売上!$B$2:$B$269,$A21,1月売上!$N$2:$N$269,"有効")</f>
        <v>9</v>
      </c>
      <c r="C21" s="7" t="n">
        <f aca="false">SUMIFS(1月売上!$P$2:$P$269,1月売上!$B$2:$B$269,$A21,1月売上!$N$2:$N$269,"有効")</f>
        <v>63965</v>
      </c>
      <c r="D21" s="7" t="n">
        <f aca="false">SUMIFS(1月売上!$R$2:$R$269,1月売上!$B$2:$B$269,$A21,1月売上!$N$2:$N$269,"有効")</f>
        <v>31345</v>
      </c>
      <c r="E21" s="5" t="str">
        <f aca="false">IF(AND($A21&gt;=DATE(2026,1,13),$A21&lt;=DATE(2026,1,19)),"期間内","")</f>
        <v/>
      </c>
    </row>
    <row r="22" customFormat="false" ht="15" hidden="false" customHeight="true" outlineLevel="0" collapsed="false">
      <c r="A22" s="15" t="n">
        <f aca="false">A21+1</f>
        <v>46043</v>
      </c>
      <c r="B22" s="5" t="n">
        <f aca="false">COUNTIFS(1月売上!$B$2:$B$269,$A22,1月売上!$N$2:$N$269,"有効")</f>
        <v>4</v>
      </c>
      <c r="C22" s="7" t="n">
        <f aca="false">SUMIFS(1月売上!$P$2:$P$269,1月売上!$B$2:$B$269,$A22,1月売上!$N$2:$N$269,"有効")</f>
        <v>46750</v>
      </c>
      <c r="D22" s="7" t="n">
        <f aca="false">SUMIFS(1月売上!$R$2:$R$269,1月売上!$B$2:$B$269,$A22,1月売上!$N$2:$N$269,"有効")</f>
        <v>22950</v>
      </c>
      <c r="E22" s="5" t="str">
        <f aca="false">IF(AND($A22&gt;=DATE(2026,1,13),$A22&lt;=DATE(2026,1,19)),"期間内","")</f>
        <v/>
      </c>
    </row>
    <row r="23" customFormat="false" ht="15" hidden="false" customHeight="true" outlineLevel="0" collapsed="false">
      <c r="A23" s="15" t="n">
        <f aca="false">A22+1</f>
        <v>46044</v>
      </c>
      <c r="B23" s="5" t="n">
        <f aca="false">COUNTIFS(1月売上!$B$2:$B$269,$A23,1月売上!$N$2:$N$269,"有効")</f>
        <v>6</v>
      </c>
      <c r="C23" s="7" t="n">
        <f aca="false">SUMIFS(1月売上!$P$2:$P$269,1月売上!$B$2:$B$269,$A23,1月売上!$N$2:$N$269,"有効")</f>
        <v>174460</v>
      </c>
      <c r="D23" s="7" t="n">
        <f aca="false">SUMIFS(1月売上!$R$2:$R$269,1月売上!$B$2:$B$269,$A23,1月売上!$N$2:$N$269,"有効")</f>
        <v>85440</v>
      </c>
      <c r="E23" s="5" t="str">
        <f aca="false">IF(AND($A23&gt;=DATE(2026,1,13),$A23&lt;=DATE(2026,1,19)),"期間内","")</f>
        <v/>
      </c>
    </row>
    <row r="24" customFormat="false" ht="15" hidden="false" customHeight="true" outlineLevel="0" collapsed="false">
      <c r="A24" s="15" t="n">
        <f aca="false">A23+1</f>
        <v>46045</v>
      </c>
      <c r="B24" s="5" t="n">
        <f aca="false">COUNTIFS(1月売上!$B$2:$B$269,$A24,1月売上!$N$2:$N$269,"有効")</f>
        <v>5</v>
      </c>
      <c r="C24" s="7" t="n">
        <f aca="false">SUMIFS(1月売上!$P$2:$P$269,1月売上!$B$2:$B$269,$A24,1月売上!$N$2:$N$269,"有効")</f>
        <v>52000</v>
      </c>
      <c r="D24" s="7" t="n">
        <f aca="false">SUMIFS(1月売上!$R$2:$R$269,1月売上!$B$2:$B$269,$A24,1月売上!$N$2:$N$269,"有効")</f>
        <v>23150</v>
      </c>
      <c r="E24" s="5" t="str">
        <f aca="false">IF(AND($A24&gt;=DATE(2026,1,13),$A24&lt;=DATE(2026,1,19)),"期間内","")</f>
        <v/>
      </c>
    </row>
    <row r="25" customFormat="false" ht="15" hidden="false" customHeight="true" outlineLevel="0" collapsed="false">
      <c r="A25" s="15" t="n">
        <f aca="false">A24+1</f>
        <v>46046</v>
      </c>
      <c r="B25" s="5" t="n">
        <f aca="false">COUNTIFS(1月売上!$B$2:$B$269,$A25,1月売上!$N$2:$N$269,"有効")</f>
        <v>10</v>
      </c>
      <c r="C25" s="7" t="n">
        <f aca="false">SUMIFS(1月売上!$P$2:$P$269,1月売上!$B$2:$B$269,$A25,1月売上!$N$2:$N$269,"有効")</f>
        <v>52650</v>
      </c>
      <c r="D25" s="7" t="n">
        <f aca="false">SUMIFS(1月売上!$R$2:$R$269,1月売上!$B$2:$B$269,$A25,1月売上!$N$2:$N$269,"有効")</f>
        <v>24670</v>
      </c>
      <c r="E25" s="5" t="str">
        <f aca="false">IF(AND($A25&gt;=DATE(2026,1,13),$A25&lt;=DATE(2026,1,19)),"期間内","")</f>
        <v/>
      </c>
    </row>
    <row r="26" customFormat="false" ht="15" hidden="false" customHeight="true" outlineLevel="0" collapsed="false">
      <c r="A26" s="15" t="n">
        <f aca="false">A25+1</f>
        <v>46047</v>
      </c>
      <c r="B26" s="5" t="n">
        <f aca="false">COUNTIFS(1月売上!$B$2:$B$269,$A26,1月売上!$N$2:$N$269,"有効")</f>
        <v>5</v>
      </c>
      <c r="C26" s="7" t="n">
        <f aca="false">SUMIFS(1月売上!$P$2:$P$269,1月売上!$B$2:$B$269,$A26,1月売上!$N$2:$N$269,"有効")</f>
        <v>28100</v>
      </c>
      <c r="D26" s="7" t="n">
        <f aca="false">SUMIFS(1月売上!$R$2:$R$269,1月売上!$B$2:$B$269,$A26,1月売上!$N$2:$N$269,"有効")</f>
        <v>13400</v>
      </c>
      <c r="E26" s="5" t="str">
        <f aca="false">IF(AND($A26&gt;=DATE(2026,1,13),$A26&lt;=DATE(2026,1,19)),"期間内","")</f>
        <v/>
      </c>
    </row>
    <row r="27" customFormat="false" ht="15" hidden="false" customHeight="true" outlineLevel="0" collapsed="false">
      <c r="A27" s="15" t="n">
        <f aca="false">A26+1</f>
        <v>46048</v>
      </c>
      <c r="B27" s="5" t="n">
        <f aca="false">COUNTIFS(1月売上!$B$2:$B$269,$A27,1月売上!$N$2:$N$269,"有効")</f>
        <v>7</v>
      </c>
      <c r="C27" s="7" t="n">
        <f aca="false">SUMIFS(1月売上!$P$2:$P$269,1月売上!$B$2:$B$269,$A27,1月売上!$N$2:$N$269,"有効")</f>
        <v>50340</v>
      </c>
      <c r="D27" s="7" t="n">
        <f aca="false">SUMIFS(1月売上!$R$2:$R$269,1月売上!$B$2:$B$269,$A27,1月売上!$N$2:$N$269,"有効")</f>
        <v>24710</v>
      </c>
      <c r="E27" s="5" t="str">
        <f aca="false">IF(AND($A27&gt;=DATE(2026,1,13),$A27&lt;=DATE(2026,1,19)),"期間内","")</f>
        <v/>
      </c>
    </row>
    <row r="28" customFormat="false" ht="15" hidden="false" customHeight="true" outlineLevel="0" collapsed="false">
      <c r="A28" s="15" t="n">
        <f aca="false">A27+1</f>
        <v>46049</v>
      </c>
      <c r="B28" s="5" t="n">
        <f aca="false">COUNTIFS(1月売上!$B$2:$B$269,$A28,1月売上!$N$2:$N$269,"有効")</f>
        <v>5</v>
      </c>
      <c r="C28" s="7" t="n">
        <f aca="false">SUMIFS(1月売上!$P$2:$P$269,1月売上!$B$2:$B$269,$A28,1月売上!$N$2:$N$269,"有効")</f>
        <v>45586</v>
      </c>
      <c r="D28" s="7" t="n">
        <f aca="false">SUMIFS(1月売上!$R$2:$R$269,1月売上!$B$2:$B$269,$A28,1月売上!$N$2:$N$269,"有効")</f>
        <v>22806</v>
      </c>
      <c r="E28" s="5" t="str">
        <f aca="false">IF(AND($A28&gt;=DATE(2026,1,13),$A28&lt;=DATE(2026,1,19)),"期間内","")</f>
        <v/>
      </c>
    </row>
    <row r="29" customFormat="false" ht="15" hidden="false" customHeight="true" outlineLevel="0" collapsed="false">
      <c r="A29" s="15" t="n">
        <f aca="false">A28+1</f>
        <v>46050</v>
      </c>
      <c r="B29" s="5" t="n">
        <f aca="false">COUNTIFS(1月売上!$B$2:$B$269,$A29,1月売上!$N$2:$N$269,"有効")</f>
        <v>11</v>
      </c>
      <c r="C29" s="7" t="n">
        <f aca="false">SUMIFS(1月売上!$P$2:$P$269,1月売上!$B$2:$B$269,$A29,1月売上!$N$2:$N$269,"有効")</f>
        <v>67595</v>
      </c>
      <c r="D29" s="7" t="n">
        <f aca="false">SUMIFS(1月売上!$R$2:$R$269,1月売上!$B$2:$B$269,$A29,1月売上!$N$2:$N$269,"有効")</f>
        <v>32485</v>
      </c>
      <c r="E29" s="5" t="str">
        <f aca="false">IF(AND($A29&gt;=DATE(2026,1,13),$A29&lt;=DATE(2026,1,19)),"期間内","")</f>
        <v/>
      </c>
    </row>
    <row r="30" customFormat="false" ht="15" hidden="false" customHeight="true" outlineLevel="0" collapsed="false">
      <c r="A30" s="15" t="n">
        <f aca="false">A29+1</f>
        <v>46051</v>
      </c>
      <c r="B30" s="5" t="n">
        <f aca="false">COUNTIFS(1月売上!$B$2:$B$269,$A30,1月売上!$N$2:$N$269,"有効")</f>
        <v>13</v>
      </c>
      <c r="C30" s="7" t="n">
        <f aca="false">SUMIFS(1月売上!$P$2:$P$269,1月売上!$B$2:$B$269,$A30,1月売上!$N$2:$N$269,"有効")</f>
        <v>113873</v>
      </c>
      <c r="D30" s="7" t="n">
        <f aca="false">SUMIFS(1月売上!$R$2:$R$269,1月売上!$B$2:$B$269,$A30,1月売上!$N$2:$N$269,"有効")</f>
        <v>59033</v>
      </c>
      <c r="E30" s="5" t="str">
        <f aca="false">IF(AND($A30&gt;=DATE(2026,1,13),$A30&lt;=DATE(2026,1,19)),"期間内","")</f>
        <v/>
      </c>
    </row>
    <row r="31" customFormat="false" ht="15" hidden="false" customHeight="true" outlineLevel="0" collapsed="false">
      <c r="A31" s="15" t="n">
        <f aca="false">A30+1</f>
        <v>46052</v>
      </c>
      <c r="B31" s="5" t="n">
        <f aca="false">COUNTIFS(1月売上!$B$2:$B$269,$A31,1月売上!$N$2:$N$269,"有効")</f>
        <v>18</v>
      </c>
      <c r="C31" s="7" t="n">
        <f aca="false">SUMIFS(1月売上!$P$2:$P$269,1月売上!$B$2:$B$269,$A31,1月売上!$N$2:$N$269,"有効")</f>
        <v>187895</v>
      </c>
      <c r="D31" s="7" t="n">
        <f aca="false">SUMIFS(1月売上!$R$2:$R$269,1月売上!$B$2:$B$269,$A31,1月売上!$N$2:$N$269,"有効")</f>
        <v>95565</v>
      </c>
      <c r="E31" s="5" t="str">
        <f aca="false">IF(AND($A31&gt;=DATE(2026,1,13),$A31&lt;=DATE(2026,1,19)),"期間内","")</f>
        <v/>
      </c>
    </row>
    <row r="32" customFormat="false" ht="15" hidden="false" customHeight="true" outlineLevel="0" collapsed="false">
      <c r="A32" s="15" t="n">
        <f aca="false">A31+1</f>
        <v>46053</v>
      </c>
      <c r="B32" s="5" t="n">
        <f aca="false">COUNTIFS(1月売上!$B$2:$B$269,$A32,1月売上!$N$2:$N$269,"有効")</f>
        <v>9</v>
      </c>
      <c r="C32" s="7" t="n">
        <f aca="false">SUMIFS(1月売上!$P$2:$P$269,1月売上!$B$2:$B$269,$A32,1月売上!$N$2:$N$269,"有効")</f>
        <v>30624</v>
      </c>
      <c r="D32" s="7" t="n">
        <f aca="false">SUMIFS(1月売上!$R$2:$R$269,1月売上!$B$2:$B$269,$A32,1月売上!$N$2:$N$269,"有効")</f>
        <v>17154</v>
      </c>
      <c r="E32" s="5" t="str">
        <f aca="false">IF(AND($A32&gt;=DATE(2026,1,13),$A32&lt;=DATE(2026,1,19)),"期間内","")</f>
        <v/>
      </c>
    </row>
    <row r="33" customFormat="false" ht="15" hidden="false" customHeight="true" outlineLevel="0" collapsed="false">
      <c r="A33" s="19" t="s">
        <v>563</v>
      </c>
      <c r="B33" s="19" t="n">
        <f aca="false">SUM(B2:B32)</f>
        <v>255</v>
      </c>
      <c r="C33" s="20" t="n">
        <f aca="false">SUM(C2:C32)</f>
        <v>2116962</v>
      </c>
      <c r="D33" s="20" t="n">
        <f aca="false">SUM(D2:D32)</f>
        <v>1059182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2026-08-14T11:32:52Z</dcterms:created>
  <dc:creator>openpyxl</dc:creator>
  <dc:description/>
  <dc:language>en-US</dc:language>
  <cp:lastModifiedBy/>
  <dcterms:modified xsi:type="dcterms:W3CDTF">2026-08-14T11:53:40Z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